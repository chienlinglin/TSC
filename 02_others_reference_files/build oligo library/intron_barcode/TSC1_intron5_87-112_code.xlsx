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ttle\Desktop\Dr. CLL\TSC mutant screening\Final sequence\5 ss\"/>
    </mc:Choice>
  </mc:AlternateContent>
  <bookViews>
    <workbookView xWindow="0" yWindow="0" windowWidth="28680" windowHeight="12150"/>
  </bookViews>
  <sheets>
    <sheet name="工作表1" sheetId="1" r:id="rId1"/>
  </sheets>
  <definedNames>
    <definedName name="_xlnm._FilterDatabase" localSheetId="0" hidden="1">工作表1!$P$1:$P$106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M2" i="1"/>
  <c r="P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O2" i="1"/>
  <c r="N2" i="1"/>
  <c r="H5" i="1" l="1"/>
  <c r="H7" i="1"/>
  <c r="H11" i="1"/>
  <c r="H15" i="1"/>
  <c r="H16" i="1"/>
  <c r="H22" i="1"/>
  <c r="H28" i="1"/>
  <c r="H34" i="1"/>
  <c r="H35" i="1"/>
  <c r="H42" i="1"/>
  <c r="H45" i="1"/>
  <c r="H52" i="1"/>
  <c r="H55" i="1"/>
  <c r="H63" i="1"/>
  <c r="H71" i="1"/>
  <c r="H72" i="1"/>
  <c r="H79" i="1"/>
  <c r="H85" i="1"/>
  <c r="H91" i="1"/>
  <c r="H97" i="1"/>
  <c r="H103" i="1"/>
  <c r="H2" i="1"/>
  <c r="M3" i="1" l="1"/>
  <c r="P3" i="1" s="1"/>
  <c r="M4" i="1"/>
  <c r="P4" i="1" s="1"/>
  <c r="M5" i="1"/>
  <c r="P5" i="1" s="1"/>
  <c r="M6" i="1"/>
  <c r="P6" i="1" s="1"/>
  <c r="M7" i="1"/>
  <c r="P7" i="1" s="1"/>
  <c r="M8" i="1"/>
  <c r="P8" i="1" s="1"/>
  <c r="M9" i="1"/>
  <c r="P9" i="1" s="1"/>
  <c r="M10" i="1"/>
  <c r="P10" i="1" s="1"/>
  <c r="M11" i="1"/>
  <c r="P11" i="1" s="1"/>
  <c r="M12" i="1"/>
  <c r="P12" i="1" s="1"/>
  <c r="M13" i="1"/>
  <c r="P13" i="1" s="1"/>
  <c r="M14" i="1"/>
  <c r="P14" i="1" s="1"/>
  <c r="M15" i="1"/>
  <c r="P15" i="1" s="1"/>
  <c r="M16" i="1"/>
  <c r="P16" i="1" s="1"/>
  <c r="M17" i="1"/>
  <c r="P17" i="1" s="1"/>
  <c r="M18" i="1"/>
  <c r="P18" i="1" s="1"/>
  <c r="M19" i="1"/>
  <c r="P19" i="1" s="1"/>
  <c r="M20" i="1"/>
  <c r="P20" i="1" s="1"/>
  <c r="M21" i="1"/>
  <c r="P21" i="1" s="1"/>
  <c r="M22" i="1"/>
  <c r="P22" i="1" s="1"/>
  <c r="M23" i="1"/>
  <c r="P23" i="1" s="1"/>
  <c r="M24" i="1"/>
  <c r="P24" i="1" s="1"/>
  <c r="M25" i="1"/>
  <c r="P25" i="1" s="1"/>
  <c r="M26" i="1"/>
  <c r="P26" i="1" s="1"/>
  <c r="M27" i="1"/>
  <c r="P27" i="1" s="1"/>
  <c r="M28" i="1"/>
  <c r="P28" i="1" s="1"/>
  <c r="M29" i="1"/>
  <c r="P29" i="1" s="1"/>
  <c r="M30" i="1"/>
  <c r="P30" i="1" s="1"/>
  <c r="M31" i="1"/>
  <c r="P31" i="1" s="1"/>
  <c r="M32" i="1"/>
  <c r="P32" i="1" s="1"/>
  <c r="M33" i="1"/>
  <c r="P33" i="1" s="1"/>
  <c r="M34" i="1"/>
  <c r="P34" i="1" s="1"/>
  <c r="M35" i="1"/>
  <c r="P35" i="1" s="1"/>
  <c r="M36" i="1"/>
  <c r="P36" i="1" s="1"/>
  <c r="M37" i="1"/>
  <c r="P37" i="1" s="1"/>
  <c r="M38" i="1"/>
  <c r="P38" i="1" s="1"/>
  <c r="M39" i="1"/>
  <c r="P39" i="1" s="1"/>
  <c r="M40" i="1"/>
  <c r="P40" i="1" s="1"/>
  <c r="M41" i="1"/>
  <c r="P41" i="1" s="1"/>
  <c r="M42" i="1"/>
  <c r="P42" i="1" s="1"/>
  <c r="M43" i="1"/>
  <c r="P43" i="1" s="1"/>
  <c r="M44" i="1"/>
  <c r="P44" i="1" s="1"/>
  <c r="M45" i="1"/>
  <c r="P45" i="1" s="1"/>
  <c r="M46" i="1"/>
  <c r="P46" i="1" s="1"/>
  <c r="M47" i="1"/>
  <c r="P47" i="1" s="1"/>
  <c r="M48" i="1"/>
  <c r="P48" i="1" s="1"/>
  <c r="M49" i="1"/>
  <c r="P49" i="1" s="1"/>
  <c r="M50" i="1"/>
  <c r="P50" i="1" s="1"/>
  <c r="M51" i="1"/>
  <c r="P51" i="1" s="1"/>
  <c r="M52" i="1"/>
  <c r="P52" i="1" s="1"/>
  <c r="M53" i="1"/>
  <c r="P53" i="1" s="1"/>
  <c r="M54" i="1"/>
  <c r="P54" i="1" s="1"/>
  <c r="M55" i="1"/>
  <c r="P55" i="1" s="1"/>
  <c r="M56" i="1"/>
  <c r="P56" i="1" s="1"/>
  <c r="M57" i="1"/>
  <c r="P57" i="1" s="1"/>
  <c r="M58" i="1"/>
  <c r="P58" i="1" s="1"/>
  <c r="M59" i="1"/>
  <c r="P59" i="1" s="1"/>
  <c r="M60" i="1"/>
  <c r="P60" i="1" s="1"/>
  <c r="M61" i="1"/>
  <c r="P61" i="1" s="1"/>
  <c r="M62" i="1"/>
  <c r="P62" i="1" s="1"/>
  <c r="M63" i="1"/>
  <c r="P63" i="1" s="1"/>
  <c r="M64" i="1"/>
  <c r="P64" i="1" s="1"/>
  <c r="M65" i="1"/>
  <c r="P65" i="1" s="1"/>
  <c r="M66" i="1"/>
  <c r="P66" i="1" s="1"/>
  <c r="M67" i="1"/>
  <c r="P67" i="1" s="1"/>
  <c r="M68" i="1"/>
  <c r="P68" i="1" s="1"/>
  <c r="M69" i="1"/>
  <c r="P69" i="1" s="1"/>
  <c r="M70" i="1"/>
  <c r="P70" i="1" s="1"/>
  <c r="M71" i="1"/>
  <c r="P71" i="1" s="1"/>
  <c r="M72" i="1"/>
  <c r="P72" i="1" s="1"/>
  <c r="M73" i="1"/>
  <c r="P73" i="1" s="1"/>
  <c r="M74" i="1"/>
  <c r="P74" i="1" s="1"/>
  <c r="M75" i="1"/>
  <c r="P75" i="1" s="1"/>
  <c r="M76" i="1"/>
  <c r="P76" i="1" s="1"/>
  <c r="M77" i="1"/>
  <c r="P77" i="1" s="1"/>
  <c r="M78" i="1"/>
  <c r="P78" i="1" s="1"/>
  <c r="M79" i="1"/>
  <c r="P79" i="1" s="1"/>
  <c r="M80" i="1"/>
  <c r="P80" i="1" s="1"/>
  <c r="M81" i="1"/>
  <c r="P81" i="1" s="1"/>
  <c r="M82" i="1"/>
  <c r="P82" i="1" s="1"/>
  <c r="M83" i="1"/>
  <c r="P83" i="1" s="1"/>
  <c r="M84" i="1"/>
  <c r="P84" i="1" s="1"/>
  <c r="M85" i="1"/>
  <c r="P85" i="1" s="1"/>
  <c r="M86" i="1"/>
  <c r="P86" i="1" s="1"/>
  <c r="M87" i="1"/>
  <c r="P87" i="1" s="1"/>
  <c r="M88" i="1"/>
  <c r="P88" i="1" s="1"/>
  <c r="M89" i="1"/>
  <c r="P89" i="1" s="1"/>
  <c r="M90" i="1"/>
  <c r="P90" i="1" s="1"/>
  <c r="M91" i="1"/>
  <c r="P91" i="1" s="1"/>
  <c r="M92" i="1"/>
  <c r="P92" i="1" s="1"/>
  <c r="M93" i="1"/>
  <c r="P93" i="1" s="1"/>
  <c r="M94" i="1"/>
  <c r="P94" i="1" s="1"/>
  <c r="M95" i="1"/>
  <c r="P95" i="1" s="1"/>
  <c r="M96" i="1"/>
  <c r="P96" i="1" s="1"/>
  <c r="M97" i="1"/>
  <c r="P97" i="1" s="1"/>
  <c r="M98" i="1"/>
  <c r="P98" i="1" s="1"/>
  <c r="M99" i="1"/>
  <c r="P99" i="1" s="1"/>
  <c r="M100" i="1"/>
  <c r="P100" i="1" s="1"/>
  <c r="M101" i="1"/>
  <c r="P101" i="1" s="1"/>
  <c r="M102" i="1"/>
  <c r="P102" i="1" s="1"/>
  <c r="M103" i="1"/>
  <c r="P103" i="1" s="1"/>
  <c r="M104" i="1"/>
  <c r="P104" i="1" s="1"/>
  <c r="M105" i="1"/>
  <c r="P105" i="1" s="1"/>
  <c r="M106" i="1"/>
  <c r="P106" i="1" s="1"/>
  <c r="F82" i="1" l="1"/>
  <c r="H82" i="1" s="1"/>
  <c r="F83" i="1"/>
  <c r="H83" i="1" s="1"/>
  <c r="F84" i="1"/>
  <c r="H84" i="1" s="1"/>
  <c r="F86" i="1"/>
  <c r="H86" i="1" s="1"/>
  <c r="F87" i="1"/>
  <c r="H87" i="1" s="1"/>
  <c r="F88" i="1"/>
  <c r="H88" i="1" s="1"/>
  <c r="F89" i="1"/>
  <c r="H89" i="1" s="1"/>
  <c r="F90" i="1"/>
  <c r="H90" i="1" s="1"/>
  <c r="F92" i="1"/>
  <c r="H92" i="1" s="1"/>
  <c r="F93" i="1"/>
  <c r="H93" i="1" s="1"/>
  <c r="F94" i="1"/>
  <c r="H94" i="1" s="1"/>
  <c r="F95" i="1"/>
  <c r="H95" i="1" s="1"/>
  <c r="F96" i="1"/>
  <c r="H96" i="1" s="1"/>
  <c r="F98" i="1"/>
  <c r="H98" i="1" s="1"/>
  <c r="F99" i="1"/>
  <c r="H99" i="1" s="1"/>
  <c r="F100" i="1"/>
  <c r="H100" i="1" s="1"/>
  <c r="F101" i="1"/>
  <c r="H101" i="1" s="1"/>
  <c r="F102" i="1"/>
  <c r="H102" i="1" s="1"/>
  <c r="F104" i="1"/>
  <c r="H104" i="1" s="1"/>
  <c r="F105" i="1"/>
  <c r="H105" i="1" s="1"/>
  <c r="F106" i="1"/>
  <c r="H106" i="1" s="1"/>
  <c r="F4" i="1" l="1"/>
  <c r="H4" i="1" s="1"/>
  <c r="F6" i="1"/>
  <c r="H6" i="1" s="1"/>
  <c r="F8" i="1"/>
  <c r="H8" i="1" s="1"/>
  <c r="F9" i="1"/>
  <c r="H9" i="1" s="1"/>
  <c r="F10" i="1"/>
  <c r="H10" i="1" s="1"/>
  <c r="F12" i="1"/>
  <c r="H12" i="1" s="1"/>
  <c r="F13" i="1"/>
  <c r="H13" i="1" s="1"/>
  <c r="F14" i="1"/>
  <c r="H14" i="1" s="1"/>
  <c r="F17" i="1"/>
  <c r="H17" i="1" s="1"/>
  <c r="F18" i="1"/>
  <c r="H18" i="1" s="1"/>
  <c r="F19" i="1"/>
  <c r="H19" i="1" s="1"/>
  <c r="F20" i="1"/>
  <c r="H20" i="1" s="1"/>
  <c r="F21" i="1"/>
  <c r="H21" i="1" s="1"/>
  <c r="F23" i="1"/>
  <c r="H23" i="1" s="1"/>
  <c r="F24" i="1"/>
  <c r="H24" i="1" s="1"/>
  <c r="F25" i="1"/>
  <c r="H25" i="1" s="1"/>
  <c r="F26" i="1"/>
  <c r="H26" i="1" s="1"/>
  <c r="F27" i="1"/>
  <c r="H27" i="1" s="1"/>
  <c r="F29" i="1"/>
  <c r="H29" i="1" s="1"/>
  <c r="F30" i="1"/>
  <c r="H30" i="1" s="1"/>
  <c r="F31" i="1"/>
  <c r="H31" i="1" s="1"/>
  <c r="F32" i="1"/>
  <c r="H32" i="1" s="1"/>
  <c r="F33" i="1"/>
  <c r="H33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3" i="1"/>
  <c r="H43" i="1" s="1"/>
  <c r="F44" i="1"/>
  <c r="H44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3" i="1"/>
  <c r="H53" i="1" s="1"/>
  <c r="F54" i="1"/>
  <c r="H54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80" i="1"/>
  <c r="H80" i="1" s="1"/>
  <c r="F81" i="1"/>
  <c r="H81" i="1" s="1"/>
  <c r="F3" i="1"/>
  <c r="H3" i="1" s="1"/>
</calcChain>
</file>

<file path=xl/sharedStrings.xml><?xml version="1.0" encoding="utf-8"?>
<sst xmlns="http://schemas.openxmlformats.org/spreadsheetml/2006/main" count="904" uniqueCount="352">
  <si>
    <t>V4</t>
  </si>
  <si>
    <t>chr9:132897177-132897178:A&gt;T</t>
  </si>
  <si>
    <t>chr9:132897179-132897180:G&gt;C</t>
  </si>
  <si>
    <t>chr9:132897417-132897418:C&gt;T</t>
  </si>
  <si>
    <t>chr9:132900695-132900696:G&gt;A</t>
  </si>
  <si>
    <t>chr9:132900699-132900700:G&gt;A</t>
  </si>
  <si>
    <t>chr9:132900713-132900714:G&gt;A</t>
  </si>
  <si>
    <t>chr9:132901537-132901538:A&gt;G</t>
  </si>
  <si>
    <t>chr9:132901548-132901549:C&gt;T</t>
  </si>
  <si>
    <t>chr9:132901570-132901571:A&gt;C</t>
  </si>
  <si>
    <t>chr9:132902570-132902571:G&gt;A</t>
  </si>
  <si>
    <t>chr9:132902587-132902588:C&gt;T</t>
  </si>
  <si>
    <t>chr9:132902590-132902591:C&gt;T</t>
  </si>
  <si>
    <t>chr9:132902596-132902597:C&gt;T</t>
  </si>
  <si>
    <t>chr9:132902603-132902604:G&gt;C</t>
  </si>
  <si>
    <t>chr9:132903618-132903619:G&gt;C</t>
  </si>
  <si>
    <t>chr9:132903627-132903628:G&gt;A</t>
  </si>
  <si>
    <t>chr9:132903633-132903634:G&gt;A</t>
  </si>
  <si>
    <t>chr9:132903640-132903641:G&gt;T</t>
  </si>
  <si>
    <t>chr9:132903648-132903649:T&gt;A</t>
  </si>
  <si>
    <t>chr9:132904407-132904408:A&gt;C</t>
  </si>
  <si>
    <t>chr9:132904408-132904409:T&gt;C</t>
  </si>
  <si>
    <t>chr9:132904408-132904409:T&gt;A</t>
  </si>
  <si>
    <t>chr9:132904408-132904409:T&gt;G</t>
  </si>
  <si>
    <t>chr9:132904409-132904410:G&gt;A</t>
  </si>
  <si>
    <t>chr9:132905563-132905564:C&gt;G</t>
  </si>
  <si>
    <t>chr9:132905571-132905572:C&gt;T</t>
  </si>
  <si>
    <t>chr9:132905575-132905576:G&gt;C</t>
  </si>
  <si>
    <t>chr9:132905577-132905578:A&gt;G</t>
  </si>
  <si>
    <t>chr9:132905579-132905580:G&gt;C</t>
  </si>
  <si>
    <t>chr9:132905579-132905580:G&gt;A</t>
  </si>
  <si>
    <t>chr9:132906724-132906725:G&gt;A</t>
  </si>
  <si>
    <t>chr9:132906725-132906726:T&gt;C</t>
  </si>
  <si>
    <t>chr9:132907286-132907287:G&gt;A</t>
  </si>
  <si>
    <t>chr9:132907287-132907288:C&gt;T</t>
  </si>
  <si>
    <t>chr9:132907291-132907292:T&gt;A</t>
  </si>
  <si>
    <t>chr9:132907294-132907295:A&gt;-</t>
  </si>
  <si>
    <t>chr9:132907295-132907296:A&gt;G</t>
  </si>
  <si>
    <t>chr9:132907299-132907299:-&gt;G</t>
  </si>
  <si>
    <t>chr9:132910991-132910992:T&gt;C</t>
  </si>
  <si>
    <t>chr9:132911000-132911001:G&gt;T</t>
  </si>
  <si>
    <t>chr9:132912273-132912274:G&gt;C</t>
  </si>
  <si>
    <t>chr9:132912277-132912278:A&gt;C</t>
  </si>
  <si>
    <t>chr9:132912278-132912279:A&gt;T</t>
  </si>
  <si>
    <t>chr9:132912279-132912280:T&gt;C</t>
  </si>
  <si>
    <t>chr9:132912279-132912279:-&gt;T</t>
  </si>
  <si>
    <t>chr9:132912280-132912281:G&gt;A</t>
  </si>
  <si>
    <t>chr9:132912280-132912281:G&gt;T</t>
  </si>
  <si>
    <t>chr9:132921349-132921350:G&gt;A</t>
  </si>
  <si>
    <t>chr9:132921352-132921353:C&gt;T</t>
  </si>
  <si>
    <t>chr9:132921359-132921360:A&gt;G</t>
  </si>
  <si>
    <t>chr9:132921361-132921362:G&gt;-</t>
  </si>
  <si>
    <t>chr9:132921361-132921362:G&gt;T</t>
  </si>
  <si>
    <t>chr9:132921361-132921362:G&gt;A</t>
  </si>
  <si>
    <t>chr9:132921361-132921362:G&gt;C</t>
  </si>
  <si>
    <t>chr9:132921780-132921781:A&gt;-</t>
  </si>
  <si>
    <t>chr9:132921780-132921780:-&gt;C</t>
  </si>
  <si>
    <t>chr9:132921789-132921790:A&gt;G</t>
  </si>
  <si>
    <t>chr9:132921808-132921809:A&gt;C</t>
  </si>
  <si>
    <t>chr9:132921811-132921812:T&gt;A</t>
  </si>
  <si>
    <t>chr9:132921817-132921818:G&gt;A</t>
  </si>
  <si>
    <t>chr9:132923329-132923330:T&gt;C</t>
  </si>
  <si>
    <t>chr9:132923344-132923345:A&gt;G</t>
  </si>
  <si>
    <t>chr9:132923345-132923346:T&gt;C</t>
  </si>
  <si>
    <t>chr9:132923346-132923347:G&gt;C</t>
  </si>
  <si>
    <t>chr9:132923346-132923347:G&gt;A</t>
  </si>
  <si>
    <t>chr9:132925539-132925540:T&gt;C</t>
  </si>
  <si>
    <t>chr9:132925581-132925582:G&gt;A</t>
  </si>
  <si>
    <t>chr9:132925585-132925586:G&gt;T</t>
  </si>
  <si>
    <t>chr9:132925585-132925586:G&gt;A</t>
  </si>
  <si>
    <t>chr9:132925585-132925585:-&gt;G</t>
  </si>
  <si>
    <t>chr9:132927167-132927168:G&gt;A</t>
  </si>
  <si>
    <t>chr9:132927182-132927183:A&gt;G</t>
  </si>
  <si>
    <t>chr9:132927184-132927185:T&gt;G</t>
  </si>
  <si>
    <t>chr9:132927187-132927188:A&gt;G</t>
  </si>
  <si>
    <t>chr9:132927199-132927200:G&gt;A</t>
  </si>
  <si>
    <t>chr9:132928719-132928720:A&gt;C</t>
  </si>
  <si>
    <t>chr9:132928751-132928752:A&gt;G</t>
  </si>
  <si>
    <t>chr9:132928757-132928758:A&gt;G</t>
  </si>
  <si>
    <t>chr9:132928761-132928762:G&gt;A</t>
  </si>
  <si>
    <t>chr9:132928764-132928765:T&gt;C</t>
  </si>
  <si>
    <t>chr9:132944525-132944526:C&gt;T</t>
  </si>
  <si>
    <t>chr9:132944533-132944534:G&gt;C</t>
  </si>
  <si>
    <t>chr9:132944535-132944536:A&gt;T</t>
  </si>
  <si>
    <t>V10</t>
  </si>
  <si>
    <t>uc004cca.3_intron_0_0_chr9_132896755_r</t>
  </si>
  <si>
    <t>uc004cca.3_intron_1_0_chr9_132897346_r</t>
  </si>
  <si>
    <t>uc004cca.3_intron_2_0_chr9_132897611_r</t>
  </si>
  <si>
    <t>uc004cca.3_intron_3_0_chr9_132900838_r</t>
  </si>
  <si>
    <t>uc004cca.3_intron_4_0_chr9_132901700_r</t>
  </si>
  <si>
    <t>uc004cca.3_intron_5_0_chr9_132902788_r</t>
  </si>
  <si>
    <t>uc004cca.3_intron_6_0_chr9_132903818_r</t>
  </si>
  <si>
    <t>uc004cca.3_intron_7_0_chr9_132904455_r</t>
  </si>
  <si>
    <t>uc004cca.3_intron_8_0_chr9_132906140_r</t>
  </si>
  <si>
    <t>uc004cca.3_intron_9_0_chr9_132906836_r</t>
  </si>
  <si>
    <t>uc004cca.3_intron_11_0_chr9_132910693_r</t>
  </si>
  <si>
    <t>uc004cca.3_intron_13_0_chr9_132911569_r</t>
  </si>
  <si>
    <t>uc004cca.3_intron_14_0_chr9_132912458_r</t>
  </si>
  <si>
    <t>uc004cca.3_intron_15_0_chr9_132921437_r</t>
  </si>
  <si>
    <t>uc004cca.3_intron_16_0_chr9_132921974_r</t>
  </si>
  <si>
    <t>uc004cca.3_intron_17_0_chr9_132923493_r</t>
  </si>
  <si>
    <t>uc004cca.3_intron_18_0_chr9_132925740_r</t>
  </si>
  <si>
    <t>uc004cca.3_intron_19_0_chr9_132927305_r</t>
  </si>
  <si>
    <t>uc004cca.3_intron_21_0_chr9_132935096_r</t>
  </si>
  <si>
    <t>chr9:132897091</t>
  </si>
  <si>
    <t>chr9:132897350</t>
  </si>
  <si>
    <t>chr9:132900622</t>
  </si>
  <si>
    <t>chr9:132901496</t>
  </si>
  <si>
    <t>chr9:132902512</t>
  </si>
  <si>
    <t>chr9:132903558</t>
  </si>
  <si>
    <t>chr9:132904318</t>
  </si>
  <si>
    <t>chr9:132905488</t>
  </si>
  <si>
    <t>chr9:132906638</t>
  </si>
  <si>
    <t>chr9:132907208</t>
  </si>
  <si>
    <t>chr9:132910909</t>
  </si>
  <si>
    <t>chr9:132912189</t>
  </si>
  <si>
    <t>chr9:132921270</t>
  </si>
  <si>
    <t>chr9:132921726</t>
  </si>
  <si>
    <t>chr9:132923255</t>
  </si>
  <si>
    <t>chr9:132925494</t>
  </si>
  <si>
    <t>chr9:132927108</t>
  </si>
  <si>
    <t>chr9:132928674</t>
  </si>
  <si>
    <t>chr9:132944450</t>
  </si>
  <si>
    <t>chr9:132901578-132901581:GAA&gt;-</t>
    <phoneticPr fontId="1" type="noConversion"/>
  </si>
  <si>
    <t>GAA&gt;-</t>
  </si>
  <si>
    <t>chr9:132905508-132905510:AG&gt;-</t>
    <phoneticPr fontId="1" type="noConversion"/>
  </si>
  <si>
    <t>AG&gt;-</t>
  </si>
  <si>
    <t>chr9:132921361-132921361:-&gt;GG</t>
    <phoneticPr fontId="1" type="noConversion"/>
  </si>
  <si>
    <t>-&gt;GG</t>
    <phoneticPr fontId="1" type="noConversion"/>
  </si>
  <si>
    <t>GCTGAAGCAGCAGAAGAAAGGTAGGAACAAAGAACTGATTCATGACCTTGGGACTAAGCTGCCAATTCCAGCATAAGGACTGTGTCACGTGGTGTGGGAAGCAGTTACTGCT</t>
  </si>
  <si>
    <t>AACAGAAGAAATATCTAGAGGATGTCAAACTCCAGGCAAGGTAACTTTCATCAGGAAAGGCTTTTGTGTTTTTATTAAGTGGAACTTCCTATATTCTGGCTGGTCTGTATCT</t>
  </si>
  <si>
    <t>AGCACTCAGATACCACAAAGGTATGCCAGGGCTCGGGAGCCAGACCTTAGTGGGGAAAGCGTTTCAGACCCAGACAGTATGTCTCCCGCATGGCATAGAGAATGGCTTGATG</t>
  </si>
  <si>
    <t>TCAGTCAGGTTTCCCAAAAGGTAAGAAGAAATGAGGCAGACCTGAATCTGCTGAAACACCATTTGCTAACATTCTTCCTTCAGACAGGTTAAAGAAATAGATTACTTGAGTG</t>
  </si>
  <si>
    <t>ACCAGAGCCAGGAATTACAGGTATAAACTGCAGCACCAGGCAAAGCCAACTGCGAGAATGCCGGAGAGCAGTGGGGAGGGAGGCAGTCAGTTTCCCTGGGTGTCCTTGACTT</t>
  </si>
  <si>
    <t>AGGAACATAATGCTGCCATGGTGAGGACTGGGGAGGGGACAGGTGGAGCTTGCTTTTTGTTTTGTTTTGGGTCAGCATGATAGCTTATAAAGCACAGCAGCCGAGGAGGTCA</t>
  </si>
  <si>
    <t>CGACTGGACCCACTTTGGAGGTAAAGTTGTTACTTTAGCTCCAAATCCAGCCCACATGGTTCCTGCTTGCTTGTTGCCCTTTCTGTCCTTGAAGGAGGTGCCCTCTGGGAAA</t>
  </si>
  <si>
    <t>CACAGCAAGGAGCTGAACAAGTAAGGGACTGGGGCACTCTCTTCTGTGTTAAATGGTCCATTTTATTGTGAAGTACAGAAAGTGTAAGAGAGGAACAAGAATCATTCTTCAC</t>
  </si>
  <si>
    <t>TGAAAAAGATAAAGAAGAAGGTAATGTATGTGGGATTGCTATGAGTTGATAAAACCTGACCCTCGCTCTGCTATAAATCTGGGATTTTGTGCCATTGCTCACAGGCTTGCTG</t>
  </si>
  <si>
    <t>TCTGAATGACAGAGGATCAGGTAAAATTTCTGCGTTACTACAGGCCTTGCTTGCCTCTTCTAATTGGGTTATATGTGTTTAAGAAAAGAAAGTTAAATGGAAACAAGGAAAT</t>
  </si>
  <si>
    <t>TAAAGTCTTTGGTACAACTGGTATGTATGTCTTAGGTTGGATTTGATTAGTTGGTTTTGGCCTGCCTTTAATGGCAGGAGGAGCTCTCTTTTAGATCTAAGGGACCACTTGC</t>
  </si>
  <si>
    <t>TGACACACAGAATAGCTATGGTAAAAAGTGTCTTTGGTACTTATCTGTTTTGCAACTTTGTCTCTGGAAAACATTATTTGTCTTTGTTGATTTTCTTTTCTGGAGTAAGACT</t>
  </si>
  <si>
    <t>CATGAACTGGACCCTCGAAGGTATAGAAACTAGTGTCAAAATTTTAAAGAATCTTTCGAGAGATTGAAAATGTGATCTAGGAGGTAATCCCTGTTGAGGTATATTTGGGAAT</t>
  </si>
  <si>
    <t>CTTTTGAAGAAGTGGTCAAGGTAAATTGAAACTGCTTGTTTGTTTGCTACTTAGTATACTGTTTAGATAGGCTGCATTTATACCTTTTGTATTTAACGGCAGACAGGGAAAT</t>
  </si>
  <si>
    <t>ATGGTGCCTGAAGAAACCAGGTACAGATCTCCTCATATACCTGTTGGGCCCTGTGAGGTGAATGCTTTCATTATTGATTAATTGCTCATATGCTGTAAGGAATGGACATGTA</t>
  </si>
  <si>
    <t>CTTTACTAAAATGTCTCAAGGTAGGATGTTTGTAAGGATTTGAATGAAATGGTTTTATGAGTATAGTTTCTGAAATTTTAGGCAACTTAAAGCAAGGAAGCTAGATTTTAAC</t>
  </si>
  <si>
    <t>TGCAAGAGCCACATGACAAGGTAATGGCTGAAATATCATAGGCATTTCATATGTTCTTCATGAGTACAACAGCTTCTGTGCACGGCCACTGTGCAACTTGTCCTGAGCTTAT</t>
  </si>
  <si>
    <t>TAAAGAGAACCTCAATTCTGGTTAGCAAAATAATATCCTTTTTAGCTTATCTTCTAGAAAGAAGAGATTGACTTTAGAGCCACTAGAATCCTGCTGATACATTTTAGTTTTC</t>
  </si>
  <si>
    <t>TGAGGGGGAGGAGACGGTGGGTGAGTATGGGGGTGTCTCCCCCTCCTTTTTATGGGGGCTTCCTGGGGCAGCCCCGGCACCATGACTCCAGCCGGGGAGGCTCGGAGGGGCT</t>
  </si>
  <si>
    <t>wt</t>
  </si>
  <si>
    <t>wt</t>
    <phoneticPr fontId="1" type="noConversion"/>
  </si>
  <si>
    <t>ref_num</t>
    <phoneticPr fontId="1" type="noConversion"/>
  </si>
  <si>
    <t>Name</t>
    <phoneticPr fontId="1" type="noConversion"/>
  </si>
  <si>
    <t>Barcode</t>
    <phoneticPr fontId="1" type="noConversion"/>
  </si>
  <si>
    <t>TA</t>
  </si>
  <si>
    <t>AG</t>
  </si>
  <si>
    <t>CA</t>
  </si>
  <si>
    <t>AT</t>
  </si>
  <si>
    <t>CT</t>
  </si>
  <si>
    <t>GC</t>
  </si>
  <si>
    <t>AC</t>
  </si>
  <si>
    <t>CG</t>
  </si>
  <si>
    <t>GT</t>
  </si>
  <si>
    <t>GA</t>
  </si>
  <si>
    <t>TC</t>
  </si>
  <si>
    <t>wt_alt_112</t>
    <phoneticPr fontId="1" type="noConversion"/>
  </si>
  <si>
    <t>F_priming</t>
    <phoneticPr fontId="1" type="noConversion"/>
  </si>
  <si>
    <t>R_priming</t>
    <phoneticPr fontId="1" type="noConversion"/>
  </si>
  <si>
    <t>final_seq</t>
    <phoneticPr fontId="1" type="noConversion"/>
  </si>
  <si>
    <t>GCTGAAGCAGCAGAAGAAAGGTAGGTACAAAGAACTGATTCATGACCTTGGGACTAAGCTGCCAATTCCAGCATAAGGACTGTGTCACGTGGTGTGGGAAGCAGTTACTGCT</t>
  </si>
  <si>
    <t>GCTGAAGCAGCAGAAGAAAGGTACGAACAAAGAACTGATTCATGACCTTGGGACTAAGCTGCCAATTCCAGCATAAGGACTGTGTCACGTGGTGTGGGAAGCAGTTACTGCT</t>
  </si>
  <si>
    <t>AACAGAAGAAATATCTAGAGGATGTCAAACTCCAGGCAAGGTAATTTTCATCAGGAAAGGCTTTTGTGTTTTTATTAAGTGGAACTTCCTATATTCTGGCTGGTCTGTATCT</t>
  </si>
  <si>
    <t>AGCACTCAGATACCACAAAGGTATGCCAGGGCTCGGGAACCAGACCTTAGTGGGGAAAGCGTTTCAGACCCAGACAGTATGTCTCCCGCATGGCATAGAGAATGGCTTGATG</t>
  </si>
  <si>
    <t>AGCACTCAGATACCACAAAGGTATGCCAGGGCTCAGGAGCCAGACCTTAGTGGGGAAAGCGTTTCAGACCCAGACAGTATGTCTCCCGCATGGCATAGAGAATGGCTTGATG</t>
  </si>
  <si>
    <t>AGCACTCAGATACCACAAAGATATGCCAGGGCTCGGGAGCCAGACCTTAGTGGGGAAAGCGTTTCAGACCCAGACAGTATGTCTCCCGCATGGCATAGAGAATGGCTTGATG</t>
  </si>
  <si>
    <t>TCAGTCAGGTTTCCCAAAAGGTAAGAAGAAATGAGGCAGACCTGAATCTGCTGAAACACCATTTGCTAACGTTCTTCCTTCAGACAGGTTAAAGAAATAGATTACTTGAGTG</t>
  </si>
  <si>
    <t>TCAGTCAGGTTTCCCAAAAGGTAAGAAGAAATGAGGCAGACCTGAATCTGCTGAAACACTATTTGCTAACATTCTTCCTTCAGACAGGTTAAAGAAATAGATTACTTGAGTG</t>
  </si>
  <si>
    <t>TCAGTCAGGTTTCCCAAAAGGTAAGAAGAAATGAGGCCGACCTGAATCTGCTGAAACACCATTTGCTAACATTCTTCCTTCAGACAGGTTAAAGAAATAGATTACTTGAGTG</t>
  </si>
  <si>
    <t>TCAGTCAGGTTTCCCAAAAGGTAAGAAATGAGGCAGACCTGAATCTGCTGAAACACCATTTGCTAACATTCTTCCTTCAGACAGGTTAAAGAAATAGATTACTTGAGTG</t>
  </si>
  <si>
    <t>ACCAGAGCCAGGAATTACAGGTATAAACTGCAGCACCAGGCAAAGCCAACTGCAAGAATGCCGGAGAGCAGTGGGGAGGGAGGCAGTCAGTTTCCCTGGGTGTCCTTGACTT</t>
  </si>
  <si>
    <t>ACCAGAGCCAGGAATTACAGGTATAAACTGCAGCACTAGGCAAAGCCAACTGCGAGAATGCCGGAGAGCAGTGGGGAGGGAGGCAGTCAGTTTCCCTGGGTGTCCTTGACTT</t>
  </si>
  <si>
    <t>ACCAGAGCCAGGAATTACAGGTATAAACTGCAGTACCAGGCAAAGCCAACTGCGAGAATGCCGGAGAGCAGTGGGGAGGGAGGCAGTCAGTTTCCCTGGGTGTCCTTGACTT</t>
  </si>
  <si>
    <t>ACCAGAGCCAGGAATTACAGGTATAAATTGCAGCACCAGGCAAAGCCAACTGCGAGAATGCCGGAGAGCAGTGGGGAGGGAGGCAGTCAGTTTCCCTGGGTGTCCTTGACTT</t>
  </si>
  <si>
    <t>ACCAGAGCCAGGAATTACAGCTATAAACTGCAGCACCAGGCAAAGCCAACTGCGAGAATGCCGGAGAGCAGTGGGGAGGGAGGCAGTCAGTTTCCCTGGGTGTCCTTGACTT</t>
  </si>
  <si>
    <t>AGGAACATAATGCTGCCATGGTGAGGACTGGGGAGGGGACAGGTGGAGCTTCCTTTTTGTTTTGTTTTGGGTCAGCATGATAGCTTATAAAGCACAGCAGCCGAGGAGGTCA</t>
  </si>
  <si>
    <t>AGGAACATAATGCTGCCATGGTGAGGACTGGGGAGGGGACAGATGGAGCTTGCTTTTTGTTTTGTTTTGGGTCAGCATGATAGCTTATAAAGCACAGCAGCCGAGGAGGTCA</t>
  </si>
  <si>
    <t>AGGAACATAATGCTGCCATGGTGAGGACTGGGGAGGAGACAGGTGGAGCTTGCTTTTTGTTTTGTTTTGGGTCAGCATGATAGCTTATAAAGCACAGCAGCCGAGGAGGTCA</t>
  </si>
  <si>
    <t>AGGAACATAATGCTGCCATGGTGAGGACTTGGGAGGGGACAGGTGGAGCTTGCTTTTTGTTTTGTTTTGGGTCAGCATGATAGCTTATAAAGCACAGCAGCCGAGGAGGTCA</t>
  </si>
  <si>
    <t>AGGAACATAATGCTGCCATGGAGAGGACTGGGGAGGGGACAGGTGGAGCTTGCTTTTTGTTTTGTTTTGGGTCAGCATGATAGCTTATAAAGCACAGCAGCCGAGGAGGTCA</t>
  </si>
  <si>
    <t>CGACTGGACCCACTTTGGAGGTCAAGTTGTTACTTTAGCTCCAAATCCAGCCCACATGGTTCCTGCTTGCTTGTTGCCCTTTCTGTCCTTGAAGGAGGTGCCCTCTGGGAAA</t>
  </si>
  <si>
    <t>CGACTGGACCCACTTTGGAGGCAAAGTTGTTACTTTAGCTCCAAATCCAGCCCACATGGTTCCTGCTTGCTTGTTGCCCTTTCTGTCCTTGAAGGAGGTGCCCTCTGGGAAA</t>
  </si>
  <si>
    <t>CGACTGGACCCACTTTGGAGGAAAAGTTGTTACTTTAGCTCCAAATCCAGCCCACATGGTTCCTGCTTGCTTGTTGCCCTTTCTGTCCTTGAAGGAGGTGCCCTCTGGGAAA</t>
  </si>
  <si>
    <t>CGACTGGACCCACTTTGGAGGGAAAGTTGTTACTTTAGCTCCAAATCCAGCCCACATGGTTCCTGCTTGCTTGTTGCCCTTTCTGTCCTTGAAGGAGGTGCCCTCTGGGAAA</t>
  </si>
  <si>
    <t>CGACTGGACCCACTTTGGAGATAAAGTTGTTACTTTAGCTCCAAATCCAGCCCACATGGTTCCTGCTTGCTTGTTGCCCTTTCTGTCCTTGAAGGAGGTGCCCTCTGGGAAA</t>
  </si>
  <si>
    <t>CACAGCAAGGAGCTGAACAAGTAAGGGACTGGGGCACTCTCTTCTGTGTTAAATGGTCCATTTTATTGTGAAGTACAGAAAGTGTAAGAGGAACAAGAATCATTCTTCAC</t>
  </si>
  <si>
    <t>CACAGCAAGGAGCTGAACAAGTAAGGGACTGGGGCAGTCTCTTCTGTGTTAAATGGTCCATTTTATTGTGAAGTACAGAAAGTGTAAGAGAGGAACAAGAATCATTCTTCAC</t>
  </si>
  <si>
    <t>CACAGCAAGGAGCTGAACAAGTAAGGGATTGGGGCACTCTCTTCTGTGTTAAATGGTCCATTTTATTGTGAAGTACAGAAAGTGTAAGAGAGGAACAAGAATCATTCTTCAC</t>
  </si>
  <si>
    <t>CACAGCAAGGAGCTGAACAAGTAACGGACTGGGGCACTCTCTTCTGTGTTAAATGGTCCATTTTATTGTGAAGTACAGAAAGTGTAAGAGAGGAACAAGAATCATTCTTCAC</t>
  </si>
  <si>
    <t>CACAGCAAGGAGCTGAACAAGTGAGGGACTGGGGCACTCTCTTCTGTGTTAAATGGTCCATTTTATTGTGAAGTACAGAAAGTGTAAGAGAGGAACAAGAATCATTCTTCAC</t>
  </si>
  <si>
    <t>CACAGCAAGGAGCTGAACAACTAAGGGACTGGGGCACTCTCTTCTGTGTTAAATGGTCCATTTTATTGTGAAGTACAGAAAGTGTAAGAGAGGAACAAGAATCATTCTTCAC</t>
  </si>
  <si>
    <t>CACAGCAAGGAGCTGAACAAATAAGGGACTGGGGCACTCTCTTCTGTGTTAAATGGTCCATTTTATTGTGAAGTACAGAAAGTGTAAGAGAGGAACAAGAATCATTCTTCAC</t>
  </si>
  <si>
    <t>TGAAAAAGATAAAGAAGAAGGTAATATATGTGGGATTGCTATGAGTTGATAAAACCTGACCCTCGCTCTGCTATAAATCTGGGATTTTGTGCCATTGCTCACAGGCTTGCTG</t>
  </si>
  <si>
    <t>TGAAAAAGATAAAGAAGAAGGTAACGTATGTGGGATTGCTATGAGTTGATAAAACCTGACCCTCGCTCTGCTATAAATCTGGGATTTTGTGCCATTGCTCACAGGCTTGCTG</t>
  </si>
  <si>
    <t>TCTGAATGACAGAGGATCAGGTAAAATTTCTGCATTACTACAGGCCTTGCTTGCCTCTTCTAATTGGGTTATATGTGTTTAAGAAAAGAAAGTTAAATGGAAACAAGGAAAT</t>
  </si>
  <si>
    <t>TCTGAATGACAGAGGATCAGGTAAAATTTCTGTGTTACTACAGGCCTTGCTTGCCTCTTCTAATTGGGTTATATGTGTTTAAGAAAAGAAAGTTAAATGGAAACAAGGAAAT</t>
  </si>
  <si>
    <t>TCTGAATGACAGAGGATCAGGTAAAATTACTGCGTTACTACAGGCCTTGCTTGCCTCTTCTAATTGGGTTATATGTGTTTAAGAAAAGAAAGTTAAATGGAAACAAGGAAAT</t>
  </si>
  <si>
    <t>TCTGAATGACAGAGGATCAGGTAAATTTCTGCGTTACTACAGGCCTTGCTTGCCTCTTCTAATTGGGTTATATGTGTTTAAGAAAAGAAAGTTAAATGGAAACAAGGAAAT</t>
  </si>
  <si>
    <t>TCTGAATGACAGAGGATCAGGTAAGATTTCTGCGTTACTACAGGCCTTGCTTGCCTCTTCTAATTGGGTTATATGTGTTTAAGAAAAGAAAGTTAAATGGAAACAAGGAAAT</t>
  </si>
  <si>
    <t>TCTGAATGACAGAGGATCAGGGTAAAATTTCTGCGTTACTACAGGCCTTGCTTGCCTCTTCTAATTGGGTTATATGTGTTTAAGAAAAGAAAGTTAAATGGAAACAAGGAAAT</t>
  </si>
  <si>
    <t>TAAAGTCTTTGGTACAACTGGTATGTATGCCTTAGGTTGGATTTGATTAGTTGGTTTTGGCCTGCCTTTAATGGCAGGAGGAGCTCTCTTTTAGATCTAAGGGACCACTTGC</t>
  </si>
  <si>
    <t>TAAAGTCTTTGGTACAACTGTTATGTATGTCTTAGGTTGGATTTGATTAGTTGGTTTTGGCCTGCCTTTAATGGCAGGAGGAGCTCTCTTTTAGATCTAAGGGACCACTTGC</t>
  </si>
  <si>
    <t>TGACACACAGAATAGCTATGGTAAAAACTGTCTTTGGTACTTATCTGTTTTGCAACTTTGTCTCTGGAAAACATTATTTGTCTTTGTTGATTTTCTTTTCTGGAGTAAGACT</t>
  </si>
  <si>
    <t>TGACACACAGAATAGCTATGGTACAAAGTGTCTTTGGTACTTATCTGTTTTGCAACTTTGTCTCTGGAAAACATTATTTGTCTTTGTTGATTTTCTTTTCTGGAGTAAGACT</t>
  </si>
  <si>
    <t>TGACACACAGAATAGCTATGGTTAAAAGTGTCTTTGGTACTTATCTGTTTTGCAACTTTGTCTCTGGAAAACATTATTTGTCTTTGTTGATTTTCTTTTCTGGAGTAAGACT</t>
  </si>
  <si>
    <t>TGACACACAGAATAGCTATGGCAAAAAGTGTCTTTGGTACTTATCTGTTTTGCAACTTTGTCTCTGGAAAACATTATTTGTCTTTGTTGATTTTCTTTTCTGGAGTAAGACT</t>
  </si>
  <si>
    <t>TGACACACAGAATAGCTATGGTTAAAAAGTGTCTTTGGTACTTATCTGTTTTGCAACTTTGTCTCTGGAAAACATTATTTGTCTTTGTTGATTTTCTTTTCTGGAGTAAGACT</t>
  </si>
  <si>
    <t>TGACACACAGAATAGCTATGATAAAAAGTGTCTTTGGTACTTATCTGTTTTGCAACTTTGTCTCTGGAAAACATTATTTGTCTTTGTTGATTTTCTTTTCTGGAGTAAGACT</t>
  </si>
  <si>
    <t>TGACACACAGAATAGCTATGTTAAAAAGTGTCTTTGGTACTTATCTGTTTTGCAACTTTGTCTCTGGAAAACATTATTTGTCTTTGTTGATTTTCTTTTCTGGAGTAAGACT</t>
  </si>
  <si>
    <t>CATGAACTGGACCCTCGAAGGTATAGAAACTAATGTCAAAATTTTAAAGAATCTTTCGAGAGATTGAAAATGTGATCTAGGAGGTAATCCCTGTTGAGGTATATTTGGGAAT</t>
  </si>
  <si>
    <t>CATGAACTGGACCCTCGAAGGTATAGAAATTAGTGTCAAAATTTTAAAGAATCTTTCGAGAGATTGAAAATGTGATCTAGGAGGTAATCCCTGTTGAGGTATATTTGGGAAT</t>
  </si>
  <si>
    <t>CATGAACTGGACCCTCGAAGGTGTAGAAACTAGTGTCAAAATTTTAAAGAATCTTTCGAGAGATTGAAAATGTGATCTAGGAGGTAATCCCTGTTGAGGTATATTTGGGAAT</t>
  </si>
  <si>
    <t>CATGAACTGGACCCTCGAAGTATAGAAACTAGTGTCAAAATTTTAAAGAATCTTTCGAGAGATTGAAAATGTGATCTAGGAGGTAATCCCTGTTGAGGTATATTTGGGAAT</t>
  </si>
  <si>
    <t>CATGAACTGGACCCTCGAAGTTATAGAAACTAGTGTCAAAATTTTAAAGAATCTTTCGAGAGATTGAAAATGTGATCTAGGAGGTAATCCCTGTTGAGGTATATTTGGGAAT</t>
  </si>
  <si>
    <t>CATGAACTGGACCCTCGAAGATATAGAAACTAGTGTCAAAATTTTAAAGAATCTTTCGAGAGATTGAAAATGTGATCTAGGAGGTAATCCCTGTTGAGGTATATTTGGGAAT</t>
  </si>
  <si>
    <t>CATGAACTGGACCCTCGAAGCTATAGAAACTAGTGTCAAAATTTTAAAGAATCTTTCGAGAGATTGAAAATGTGATCTAGGAGGTAATCCCTGTTGAGGTATATTTGGGAAT</t>
  </si>
  <si>
    <t>CATGAACTGGACCCTCGAAGGGGTATAGAAACTAGTGTCAAAATTTTAAAGAATCTTTCGAGAGATTGAAAATGTGATCTAGGAGGTAATCCCTGTTGAGGTATATTTGGGAAT</t>
  </si>
  <si>
    <t>CTTTTGAAGAAGTGGTCAAGGTAAATTGAAACTGCTTGTTTGTTTGCTACTTAGTATCTGTTTAGATAGGCTGCATTTATACCTTTTGTATTTAACGGCAGACAGGGAAAT</t>
  </si>
  <si>
    <t>CTTTTGAAGAAGTGGTCAAGGTAAATTGAAACTGCTTGTTTGTTTGCTACTTAGTATACCTGTTTAGATAGGCTGCATTTATACCTTTTGTATTTAACGGCAGACAGGGAAAT</t>
  </si>
  <si>
    <t>CTTTTGAAGAAGTGGTCAAGGTAAATTGAAACTGCTTGTTTGTTTGCTGCTTAGTATACTGTTTAGATAGGCTGCATTTATACCTTTTGTATTTAACGGCAGACAGGGAAAT</t>
  </si>
  <si>
    <t>CTTTTGAAGAAGTGGTCAAGGTAAATTGACACTGCTTGTTTGTTTGCTACTTAGTATACTGTTTAGATAGGCTGCATTTATACCTTTTGTATTTAACGGCAGACAGGGAAAT</t>
  </si>
  <si>
    <t>CTTTTGAAGAAGTGGTCAAGGTAAATAGAAACTGCTTGTTTGTTTGCTACTTAGTATACTGTTTAGATAGGCTGCATTTATACCTTTTGTATTTAACGGCAGACAGGGAAAT</t>
  </si>
  <si>
    <t>CTTTTGAAGAAGTGGTCAAGATAAATTGAAACTGCTTGTTTGTTTGCTACTTAGTATACTGTTTAGATAGGCTGCATTTATACCTTTTGTATTTAACGGCAGACAGGGAAAT</t>
  </si>
  <si>
    <t>ATGGTGCCTGAAGAAACCAGGTACAGATCTCCTCATACACCTGTTGGGCCCTGTGAGGTGAATGCTTTCATTATTGATTAATTGCTCATATGCTGTAAGGAATGGACATGTA</t>
  </si>
  <si>
    <t>ATGGTGCCTGAAGAAACCAGGTGCAGATCTCCTCATATACCTGTTGGGCCCTGTGAGGTGAATGCTTTCATTATTGATTAATTGCTCATATGCTGTAAGGAATGGACATGTA</t>
  </si>
  <si>
    <t>ATGGTGCCTGAAGAAACCAGGCACAGATCTCCTCATATACCTGTTGGGCCCTGTGAGGTGAATGCTTTCATTATTGATTAATTGCTCATATGCTGTAAGGAATGGACATGTA</t>
  </si>
  <si>
    <t>ATGGTGCCTGAAGAAACCAGCTACAGATCTCCTCATATACCTGTTGGGCCCTGTGAGGTGAATGCTTTCATTATTGATTAATTGCTCATATGCTGTAAGGAATGGACATGTA</t>
  </si>
  <si>
    <t>ATGGTGCCTGAAGAAACCAGATACAGATCTCCTCATATACCTGTTGGGCCCTGTGAGGTGAATGCTTTCATTATTGATTAATTGCTCATATGCTGTAAGGAATGGACATGTA</t>
  </si>
  <si>
    <t>CTTTACTAAAATGTCTCAAGGTAGGATGTTTGTAAGGATTTGAATGAAATGGTTTTATGAGTATAGCTTCTGAAATTTTAGGCAACTTAAAGCAAGGAAGCTAGATTTTAAC</t>
  </si>
  <si>
    <t>CTTTACTAAAATGTCTCAAGGTAGAATGTTTGTAAGGATTTGAATGAAATGGTTTTATGAGTATAGTTTCTGAAATTTTAGGCAACTTAAAGCAAGGAAGCTAGATTTTAAC</t>
  </si>
  <si>
    <t>CTTTACTAAAATGTCTCAAGTTAGGATGTTTGTAAGGATTTGAATGAAATGGTTTTATGAGTATAGTTTCTGAAATTTTAGGCAACTTAAAGCAAGGAAGCTAGATTTTAAC</t>
  </si>
  <si>
    <t>CTTTACTAAAATGTCTCAAGATAGGATGTTTGTAAGGATTTGAATGAAATGGTTTTATGAGTATAGTTTCTGAAATTTTAGGCAACTTAAAGCAAGGAAGCTAGATTTTAAC</t>
  </si>
  <si>
    <t>CTTTACTAAAATGTCTCAAGGGTAGGATGTTTGTAAGGATTTGAATGAAATGGTTTTATGAGTATAGTTTCTGAAATTTTAGGCAACTTAAAGCAAGGAAGCTAGATTTTAAC</t>
  </si>
  <si>
    <t>TGCAAGAGCCACATGACAAGGTAATGGCTGAAATATCATAGGCATTTCATATATTCTTCATGAGTACAACAGCTTCTGTGCACGGCCACTGTGCAACTTGTCCTGAGCTTAT</t>
  </si>
  <si>
    <t>TGCAAGAGCCACATGACAAGGTAATGGCTGAAATATCGTAGGCATTTCATATGTTCTTCATGAGTACAACAGCTTCTGTGCACGGCCACTGTGCAACTTGTCCTGAGCTTAT</t>
  </si>
  <si>
    <t>TGCAAGAGCCACATGACAAGGTAATGGCTGAAATAGCATAGGCATTTCATATGTTCTTCATGAGTACAACAGCTTCTGTGCACGGCCACTGTGCAACTTGTCCTGAGCTTAT</t>
  </si>
  <si>
    <t>TGCAAGAGCCACATGACAAGGTAATGGCTGAAGTATCATAGGCATTTCATATGTTCTTCATGAGTACAACAGCTTCTGTGCACGGCCACTGTGCAACTTGTCCTGAGCTTAT</t>
  </si>
  <si>
    <t>TGCAAGAGCCACATGACAAGATAATGGCTGAAATATCATAGGCATTTCATATGTTCTTCATGAGTACAACAGCTTCTGTGCACGGCCACTGTGCAACTTGTCCTGAGCTTAT</t>
  </si>
  <si>
    <t>TAAAGAGAACCTCAATTCTGGTTAGCAAAATAATATCCTTTTTAGCTTATCTTCTAGAAAGAAGAGCTTGACTTTAGAGCCACTAGAATCCTGCTGATACATTTTAGTTTTC</t>
  </si>
  <si>
    <t>TAAAGAGAACCTCAATTCTGGTTAGCAAAATAATGTCCTTTTTAGCTTATCTTCTAGAAAGAAGAGATTGACTTTAGAGCCACTAGAATCCTGCTGATACATTTTAGTTTTC</t>
  </si>
  <si>
    <t>TAAAGAGAACCTCAATTCTGGTTAGCAAGATAATATCCTTTTTAGCTTATCTTCTAGAAAGAAGAGATTGACTTTAGAGCCACTAGAATCCTGCTGATACATTTTAGTTTTC</t>
  </si>
  <si>
    <t>TAAAGAGAACCTCAATTCTGGTTAACAAAATAATATCCTTTTTAGCTTATCTTCTAGAAAGAAGAGATTGACTTTAGAGCCACTAGAATCCTGCTGATACATTTTAGTTTTC</t>
  </si>
  <si>
    <t>TAAAGAGAACCTCAATTCTGGCTAGCAAAATAATATCCTTTTTAGCTTATCTTCTAGAAAGAAGAGATTGACTTTAGAGCCACTAGAATCCTGCTGATACATTTTAGTTTTC</t>
  </si>
  <si>
    <t>TGAGGGGGAGGAGACGGTGGGTGAGTATGGGGGTGTTTCCCCCTCCTTTTTATGGGGGCTTCCTGGGGCAGCCCCGGCACCATGACTCCAGCCGGGGAGGCTCGGAGGGGCT</t>
  </si>
  <si>
    <t>TGAGGGGGAGGAGACGGTGGGTGAGTATCGGGGTGTCTCCCCCTCCTTTTTATGGGGGCTTCCTGGGGCAGCCCCGGCACCATGACTCCAGCCGGGGAGGCTCGGAGGGGCT</t>
  </si>
  <si>
    <t>TGAGGGGGAGGAGACGGTGGGTGAGTTTGGGGGTGTCTCCCCCTCCTTTTTATGGGGGCTTCCTGGGGCAGCCCCGGCACCATGACTCCAGCCGGGGAGGCTCGGAGGGGCT</t>
  </si>
  <si>
    <t>AGAGACAGGAGCCTTCGGTG</t>
    <phoneticPr fontId="1" type="noConversion"/>
  </si>
  <si>
    <t>AGGTAGGAGGATAGGCCAGG</t>
    <phoneticPr fontId="1" type="noConversion"/>
  </si>
  <si>
    <t>AGAGACAGGAGCCTTCGGTG</t>
    <phoneticPr fontId="1" type="noConversion"/>
  </si>
  <si>
    <t>AGGTAGGAGGATAGGCCAGG</t>
    <phoneticPr fontId="1" type="noConversion"/>
  </si>
  <si>
    <t>chr9</t>
  </si>
  <si>
    <t>132897177-132897178</t>
  </si>
  <si>
    <t>132897179-132897180</t>
  </si>
  <si>
    <t>132897417-132897418</t>
  </si>
  <si>
    <t>132900695-132900696</t>
  </si>
  <si>
    <t>132900699-132900700</t>
  </si>
  <si>
    <t>132900713-132900714</t>
  </si>
  <si>
    <t>132901537-132901538</t>
  </si>
  <si>
    <t>132901548-132901549</t>
  </si>
  <si>
    <t>132901570-132901571</t>
  </si>
  <si>
    <t>132901578-132901581</t>
  </si>
  <si>
    <t>132902570-132902571</t>
  </si>
  <si>
    <t>132902587-132902588</t>
  </si>
  <si>
    <t>132902590-132902591</t>
  </si>
  <si>
    <t>132902596-132902597</t>
  </si>
  <si>
    <t>132902603-132902604</t>
  </si>
  <si>
    <t>132903618-132903619</t>
  </si>
  <si>
    <t>132903627-132903628</t>
  </si>
  <si>
    <t>132903633-132903634</t>
  </si>
  <si>
    <t>132903640-132903641</t>
  </si>
  <si>
    <t>132903648-132903649</t>
  </si>
  <si>
    <t>132904407-132904408</t>
  </si>
  <si>
    <t>132904408-132904409</t>
  </si>
  <si>
    <t>132904409-132904410</t>
  </si>
  <si>
    <t>132905508-132905510</t>
  </si>
  <si>
    <t>132905563-132905564</t>
  </si>
  <si>
    <t>132905571-132905572</t>
  </si>
  <si>
    <t>132905575-132905576</t>
  </si>
  <si>
    <t>132905577-132905578</t>
  </si>
  <si>
    <t>132905579-132905580</t>
  </si>
  <si>
    <t>132906724-132906725</t>
  </si>
  <si>
    <t>132906725-132906726</t>
  </si>
  <si>
    <t>132907286-132907287</t>
  </si>
  <si>
    <t>132907287-132907288</t>
  </si>
  <si>
    <t>132907291-132907292</t>
  </si>
  <si>
    <t>132907294-132907295</t>
  </si>
  <si>
    <t>132907295-132907296</t>
  </si>
  <si>
    <t>132907299-132907299</t>
  </si>
  <si>
    <t>132910991-132910992</t>
  </si>
  <si>
    <t>132911000-132911001</t>
  </si>
  <si>
    <t>132912273-132912274</t>
  </si>
  <si>
    <t>132912277-132912278</t>
  </si>
  <si>
    <t>132912278-132912279</t>
  </si>
  <si>
    <t>132912279-132912280</t>
  </si>
  <si>
    <t>132912279-132912279</t>
  </si>
  <si>
    <t>132912280-132912281</t>
  </si>
  <si>
    <t>132921349-132921350</t>
  </si>
  <si>
    <t>132921352-132921353</t>
  </si>
  <si>
    <t>132921359-132921360</t>
  </si>
  <si>
    <t>132921361-132921362</t>
  </si>
  <si>
    <t>132921361-132921361</t>
  </si>
  <si>
    <t>132921780-132921781</t>
  </si>
  <si>
    <t>132921780-132921780</t>
  </si>
  <si>
    <t>132921789-132921790</t>
  </si>
  <si>
    <t>132921808-132921809</t>
  </si>
  <si>
    <t>132921811-132921812</t>
  </si>
  <si>
    <t>132921817-132921818</t>
  </si>
  <si>
    <t>132923329-132923330</t>
  </si>
  <si>
    <t>132923344-132923345</t>
  </si>
  <si>
    <t>132923345-132923346</t>
  </si>
  <si>
    <t>132923346-132923347</t>
  </si>
  <si>
    <t>132925539-132925540</t>
  </si>
  <si>
    <t>132925581-132925582</t>
  </si>
  <si>
    <t>132925585-132925586</t>
  </si>
  <si>
    <t>132925585-132925585</t>
  </si>
  <si>
    <t>132927167-132927168</t>
  </si>
  <si>
    <t>132927182-132927183</t>
  </si>
  <si>
    <t>132927184-132927185</t>
  </si>
  <si>
    <t>132927187-132927188</t>
  </si>
  <si>
    <t>132927199-132927200</t>
  </si>
  <si>
    <t>132928719-132928720</t>
  </si>
  <si>
    <t>132928751-132928752</t>
  </si>
  <si>
    <t>132928757-132928758</t>
  </si>
  <si>
    <t>132928761-132928762</t>
  </si>
  <si>
    <t>132928764-132928765</t>
  </si>
  <si>
    <t>132944525-132944526</t>
  </si>
  <si>
    <t>132944533-132944534</t>
  </si>
  <si>
    <t>132944535-132944536</t>
  </si>
  <si>
    <t>ESE check (left)</t>
    <phoneticPr fontId="1" type="noConversion"/>
  </si>
  <si>
    <t>right</t>
    <phoneticPr fontId="1" type="noConversion"/>
  </si>
  <si>
    <t>TG</t>
    <phoneticPr fontId="1" type="noConversion"/>
  </si>
  <si>
    <t>TG</t>
    <phoneticPr fontId="1" type="noConversion"/>
  </si>
  <si>
    <t>TG</t>
    <phoneticPr fontId="1" type="noConversion"/>
  </si>
  <si>
    <t>TG</t>
    <phoneticPr fontId="1" type="noConversion"/>
  </si>
  <si>
    <t>TG</t>
    <phoneticPr fontId="1" type="noConversion"/>
  </si>
  <si>
    <t>AT</t>
    <phoneticPr fontId="1" type="noConversion"/>
  </si>
  <si>
    <t>TG</t>
    <phoneticPr fontId="1" type="noConversion"/>
  </si>
  <si>
    <t>AG</t>
    <phoneticPr fontId="1" type="noConversion"/>
  </si>
  <si>
    <t>CG</t>
    <phoneticPr fontId="1" type="noConversion"/>
  </si>
  <si>
    <t>GA</t>
    <phoneticPr fontId="1" type="noConversion"/>
  </si>
  <si>
    <t>GC</t>
    <phoneticPr fontId="1" type="noConversion"/>
  </si>
  <si>
    <t>AG</t>
    <phoneticPr fontId="1" type="noConversion"/>
  </si>
  <si>
    <t>GC</t>
    <phoneticPr fontId="1" type="noConversion"/>
  </si>
  <si>
    <t>seq_len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</si>
</sst>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6"/>
  <sheetViews>
    <sheetView tabSelected="1" topLeftCell="F1" zoomScaleNormal="100" workbookViewId="0">
      <selection activeCell="Q106" sqref="Q2:Q106"/>
    </sheetView>
  </sheetViews>
  <sheetFormatPr defaultRowHeight="16.5" x14ac:dyDescent="0.25"/>
  <cols>
    <col min="1" max="1" width="14.125" customWidth="1"/>
    <col min="2" max="2" width="19.875" customWidth="1"/>
    <col min="3" max="3" width="31.125" customWidth="1"/>
    <col min="4" max="4" width="5.25" customWidth="1"/>
    <col min="5" max="5" width="18.875" customWidth="1"/>
    <col min="6" max="6" width="5.375" customWidth="1"/>
    <col min="7" max="7" width="3.625" customWidth="1"/>
    <col min="8" max="8" width="37.875" customWidth="1"/>
    <col min="9" max="9" width="7" customWidth="1"/>
    <col min="10" max="10" width="12.875" customWidth="1"/>
    <col min="11" max="11" width="10.875" customWidth="1"/>
    <col min="14" max="14" width="13.375" customWidth="1"/>
  </cols>
  <sheetData>
    <row r="1" spans="1:17" x14ac:dyDescent="0.25">
      <c r="B1" t="s">
        <v>84</v>
      </c>
      <c r="C1" t="s">
        <v>0</v>
      </c>
      <c r="D1" t="s">
        <v>0</v>
      </c>
      <c r="G1" t="s">
        <v>150</v>
      </c>
      <c r="H1" t="s">
        <v>151</v>
      </c>
      <c r="I1" t="s">
        <v>152</v>
      </c>
      <c r="J1" t="s">
        <v>164</v>
      </c>
      <c r="K1" t="s">
        <v>165</v>
      </c>
      <c r="L1" t="s">
        <v>166</v>
      </c>
      <c r="M1" t="s">
        <v>167</v>
      </c>
      <c r="N1" t="s">
        <v>336</v>
      </c>
      <c r="O1" t="s">
        <v>337</v>
      </c>
      <c r="P1" t="s">
        <v>351</v>
      </c>
    </row>
    <row r="2" spans="1:17" x14ac:dyDescent="0.25">
      <c r="A2" t="s">
        <v>104</v>
      </c>
      <c r="F2" t="s">
        <v>149</v>
      </c>
      <c r="H2" t="str">
        <f>(A2&amp;"_"&amp;E2&amp;":"&amp;F2)</f>
        <v>chr9:132897091_:wt</v>
      </c>
      <c r="I2" t="s">
        <v>153</v>
      </c>
      <c r="J2" t="s">
        <v>129</v>
      </c>
      <c r="K2" t="s">
        <v>254</v>
      </c>
      <c r="L2" t="s">
        <v>255</v>
      </c>
      <c r="M2" t="str">
        <f>(K2&amp;I2&amp;J2&amp;L2)</f>
        <v>AGAGACAGGAGCCTTCGGTGTAGCTGAAGCAGCAGAAGAAAGGTAGGAACAAAGAACTGATTCATGACCTTGGGACTAAGCTGCCAATTCCAGCATAAGGACTGTGTCACGTGGTGTGGGAAGCAGTTACTGCTAGGTAGGAGGATAGGCCAGG</v>
      </c>
      <c r="N2" t="str">
        <f>RIGHT(K2,5)</f>
        <v>CGGTG</v>
      </c>
      <c r="O2" t="str">
        <f>LEFT(J2,5)</f>
        <v>GCTGA</v>
      </c>
      <c r="P2">
        <f>LEN(M2)</f>
        <v>154</v>
      </c>
      <c r="Q2" t="str">
        <f>LEFT(M2,42)</f>
        <v>AGAGACAGGAGCCTTCGGTGTAGCTGAAGCAGCAGAAGAAAG</v>
      </c>
    </row>
    <row r="3" spans="1:17" x14ac:dyDescent="0.25">
      <c r="A3" t="s">
        <v>104</v>
      </c>
      <c r="B3" t="s">
        <v>85</v>
      </c>
      <c r="C3" t="s">
        <v>1</v>
      </c>
      <c r="D3" t="s">
        <v>258</v>
      </c>
      <c r="E3" t="s">
        <v>259</v>
      </c>
      <c r="F3" t="str">
        <f>RIGHT(C3,3)</f>
        <v>A&gt;T</v>
      </c>
      <c r="G3">
        <v>2</v>
      </c>
      <c r="H3" t="str">
        <f t="shared" ref="H3:H66" si="0">(A3&amp;"_"&amp;E3&amp;":"&amp;F3)</f>
        <v>chr9:132897091_132897177-132897178:A&gt;T</v>
      </c>
      <c r="I3" t="s">
        <v>154</v>
      </c>
      <c r="J3" t="s">
        <v>168</v>
      </c>
      <c r="K3" t="s">
        <v>256</v>
      </c>
      <c r="L3" t="s">
        <v>255</v>
      </c>
      <c r="M3" t="str">
        <f t="shared" ref="M3:M66" si="1">(K3&amp;I3&amp;J3&amp;L3)</f>
        <v>AGAGACAGGAGCCTTCGGTGAGGCTGAAGCAGCAGAAGAAAGGTAGGTACAAAGAACTGATTCATGACCTTGGGACTAAGCTGCCAATTCCAGCATAAGGACTGTGTCACGTGGTGTGGGAAGCAGTTACTGCTAGGTAGGAGGATAGGCCAGG</v>
      </c>
      <c r="N3" t="str">
        <f t="shared" ref="N3:N66" si="2">RIGHT(K3,5)</f>
        <v>CGGTG</v>
      </c>
      <c r="O3" t="str">
        <f t="shared" ref="O3:O66" si="3">LEFT(J3,5)</f>
        <v>GCTGA</v>
      </c>
      <c r="P3">
        <f t="shared" ref="P3:P66" si="4">LEN(M3)</f>
        <v>154</v>
      </c>
      <c r="Q3" t="str">
        <f t="shared" ref="Q3:Q66" si="5">LEFT(M3,42)</f>
        <v>AGAGACAGGAGCCTTCGGTGAGGCTGAAGCAGCAGAAGAAAG</v>
      </c>
    </row>
    <row r="4" spans="1:17" x14ac:dyDescent="0.25">
      <c r="A4" t="s">
        <v>104</v>
      </c>
      <c r="B4" t="s">
        <v>85</v>
      </c>
      <c r="C4" t="s">
        <v>2</v>
      </c>
      <c r="D4" t="s">
        <v>258</v>
      </c>
      <c r="E4" t="s">
        <v>260</v>
      </c>
      <c r="F4" t="str">
        <f>RIGHT(C4,3)</f>
        <v>G&gt;C</v>
      </c>
      <c r="G4">
        <v>2</v>
      </c>
      <c r="H4" t="str">
        <f t="shared" si="0"/>
        <v>chr9:132897091_132897179-132897180:G&gt;C</v>
      </c>
      <c r="I4" t="s">
        <v>155</v>
      </c>
      <c r="J4" t="s">
        <v>169</v>
      </c>
      <c r="K4" t="s">
        <v>256</v>
      </c>
      <c r="L4" t="s">
        <v>255</v>
      </c>
      <c r="M4" t="str">
        <f t="shared" si="1"/>
        <v>AGAGACAGGAGCCTTCGGTGCAGCTGAAGCAGCAGAAGAAAGGTACGAACAAAGAACTGATTCATGACCTTGGGACTAAGCTGCCAATTCCAGCATAAGGACTGTGTCACGTGGTGTGGGAAGCAGTTACTGCTAGGTAGGAGGATAGGCCAGG</v>
      </c>
      <c r="N4" t="str">
        <f t="shared" si="2"/>
        <v>CGGTG</v>
      </c>
      <c r="O4" t="str">
        <f t="shared" si="3"/>
        <v>GCTGA</v>
      </c>
      <c r="P4">
        <f t="shared" si="4"/>
        <v>154</v>
      </c>
      <c r="Q4" t="str">
        <f t="shared" si="5"/>
        <v>AGAGACAGGAGCCTTCGGTGCAGCTGAAGCAGCAGAAGAAAG</v>
      </c>
    </row>
    <row r="5" spans="1:17" x14ac:dyDescent="0.25">
      <c r="A5" t="s">
        <v>105</v>
      </c>
      <c r="F5" t="s">
        <v>148</v>
      </c>
      <c r="H5" t="str">
        <f t="shared" si="0"/>
        <v>chr9:132897350_:wt</v>
      </c>
      <c r="I5" t="s">
        <v>156</v>
      </c>
      <c r="J5" t="s">
        <v>130</v>
      </c>
      <c r="K5" t="s">
        <v>256</v>
      </c>
      <c r="L5" t="s">
        <v>255</v>
      </c>
      <c r="M5" t="str">
        <f t="shared" si="1"/>
        <v>AGAGACAGGAGCCTTCGGTGATAACAGAAGAAATATCTAGAGGATGTCAAACTCCAGGCAAGGTAACTTTCATCAGGAAAGGCTTTTGTGTTTTTATTAAGTGGAACTTCCTATATTCTGGCTGGTCTGTATCTAGGTAGGAGGATAGGCCAGG</v>
      </c>
      <c r="N5" t="str">
        <f t="shared" si="2"/>
        <v>CGGTG</v>
      </c>
      <c r="O5" t="str">
        <f t="shared" si="3"/>
        <v>AACAG</v>
      </c>
      <c r="P5">
        <f t="shared" si="4"/>
        <v>154</v>
      </c>
      <c r="Q5" t="str">
        <f t="shared" si="5"/>
        <v>AGAGACAGGAGCCTTCGGTGATAACAGAAGAAATATCTAGAG</v>
      </c>
    </row>
    <row r="6" spans="1:17" x14ac:dyDescent="0.25">
      <c r="A6" t="s">
        <v>105</v>
      </c>
      <c r="B6" t="s">
        <v>86</v>
      </c>
      <c r="C6" t="s">
        <v>3</v>
      </c>
      <c r="D6" t="s">
        <v>258</v>
      </c>
      <c r="E6" t="s">
        <v>261</v>
      </c>
      <c r="F6" t="str">
        <f>RIGHT(C6,3)</f>
        <v>C&gt;T</v>
      </c>
      <c r="G6">
        <v>1</v>
      </c>
      <c r="H6" t="str">
        <f t="shared" si="0"/>
        <v>chr9:132897350_132897417-132897418:C&gt;T</v>
      </c>
      <c r="I6" t="s">
        <v>339</v>
      </c>
      <c r="J6" t="s">
        <v>170</v>
      </c>
      <c r="K6" t="s">
        <v>256</v>
      </c>
      <c r="L6" t="s">
        <v>255</v>
      </c>
      <c r="M6" t="str">
        <f t="shared" si="1"/>
        <v>AGAGACAGGAGCCTTCGGTGTGAACAGAAGAAATATCTAGAGGATGTCAAACTCCAGGCAAGGTAATTTTCATCAGGAAAGGCTTTTGTGTTTTTATTAAGTGGAACTTCCTATATTCTGGCTGGTCTGTATCTAGGTAGGAGGATAGGCCAGG</v>
      </c>
      <c r="N6" t="str">
        <f t="shared" si="2"/>
        <v>CGGTG</v>
      </c>
      <c r="O6" t="str">
        <f t="shared" si="3"/>
        <v>AACAG</v>
      </c>
      <c r="P6">
        <f t="shared" si="4"/>
        <v>154</v>
      </c>
      <c r="Q6" t="str">
        <f t="shared" si="5"/>
        <v>AGAGACAGGAGCCTTCGGTGTGAACAGAAGAAATATCTAGAG</v>
      </c>
    </row>
    <row r="7" spans="1:17" x14ac:dyDescent="0.25">
      <c r="A7" t="s">
        <v>106</v>
      </c>
      <c r="F7" t="s">
        <v>148</v>
      </c>
      <c r="H7" t="str">
        <f t="shared" si="0"/>
        <v>chr9:132900622_:wt</v>
      </c>
      <c r="I7" t="s">
        <v>157</v>
      </c>
      <c r="J7" t="s">
        <v>131</v>
      </c>
      <c r="K7" t="s">
        <v>254</v>
      </c>
      <c r="L7" t="s">
        <v>257</v>
      </c>
      <c r="M7" t="str">
        <f t="shared" si="1"/>
        <v>AGAGACAGGAGCCTTCGGTGCTAGCACTCAGATACCACAAAGGTATGCCAGGGCTCGGGAGCCAGACCTTAGTGGGGAAAGCGTTTCAGACCCAGACAGTATGTCTCCCGCATGGCATAGAGAATGGCTTGATGAGGTAGGAGGATAGGCCAGG</v>
      </c>
      <c r="N7" t="str">
        <f t="shared" si="2"/>
        <v>CGGTG</v>
      </c>
      <c r="O7" t="str">
        <f t="shared" si="3"/>
        <v>AGCAC</v>
      </c>
      <c r="P7">
        <f t="shared" si="4"/>
        <v>154</v>
      </c>
      <c r="Q7" t="str">
        <f t="shared" si="5"/>
        <v>AGAGACAGGAGCCTTCGGTGCTAGCACTCAGATACCACAAAG</v>
      </c>
    </row>
    <row r="8" spans="1:17" x14ac:dyDescent="0.25">
      <c r="A8" t="s">
        <v>106</v>
      </c>
      <c r="B8" t="s">
        <v>87</v>
      </c>
      <c r="C8" t="s">
        <v>4</v>
      </c>
      <c r="D8" t="s">
        <v>258</v>
      </c>
      <c r="E8" t="s">
        <v>262</v>
      </c>
      <c r="F8" t="str">
        <f>RIGHT(C8,3)</f>
        <v>G&gt;A</v>
      </c>
      <c r="G8">
        <v>3</v>
      </c>
      <c r="H8" t="str">
        <f t="shared" si="0"/>
        <v>chr9:132900622_132900695-132900696:G&gt;A</v>
      </c>
      <c r="I8" t="s">
        <v>158</v>
      </c>
      <c r="J8" t="s">
        <v>171</v>
      </c>
      <c r="K8" t="s">
        <v>256</v>
      </c>
      <c r="L8" t="s">
        <v>255</v>
      </c>
      <c r="M8" t="str">
        <f t="shared" si="1"/>
        <v>AGAGACAGGAGCCTTCGGTGGCAGCACTCAGATACCACAAAGGTATGCCAGGGCTCGGGAACCAGACCTTAGTGGGGAAAGCGTTTCAGACCCAGACAGTATGTCTCCCGCATGGCATAGAGAATGGCTTGATGAGGTAGGAGGATAGGCCAGG</v>
      </c>
      <c r="N8" t="str">
        <f t="shared" si="2"/>
        <v>CGGTG</v>
      </c>
      <c r="O8" t="str">
        <f t="shared" si="3"/>
        <v>AGCAC</v>
      </c>
      <c r="P8">
        <f t="shared" si="4"/>
        <v>154</v>
      </c>
      <c r="Q8" t="str">
        <f t="shared" si="5"/>
        <v>AGAGACAGGAGCCTTCGGTGGCAGCACTCAGATACCACAAAG</v>
      </c>
    </row>
    <row r="9" spans="1:17" x14ac:dyDescent="0.25">
      <c r="A9" t="s">
        <v>106</v>
      </c>
      <c r="B9" t="s">
        <v>87</v>
      </c>
      <c r="C9" t="s">
        <v>5</v>
      </c>
      <c r="D9" t="s">
        <v>258</v>
      </c>
      <c r="E9" t="s">
        <v>263</v>
      </c>
      <c r="F9" t="str">
        <f>RIGHT(C9,3)</f>
        <v>G&gt;A</v>
      </c>
      <c r="G9">
        <v>3</v>
      </c>
      <c r="H9" t="str">
        <f t="shared" si="0"/>
        <v>chr9:132900622_132900699-132900700:G&gt;A</v>
      </c>
      <c r="I9" t="s">
        <v>159</v>
      </c>
      <c r="J9" t="s">
        <v>172</v>
      </c>
      <c r="K9" t="s">
        <v>256</v>
      </c>
      <c r="L9" t="s">
        <v>257</v>
      </c>
      <c r="M9" t="str">
        <f t="shared" si="1"/>
        <v>AGAGACAGGAGCCTTCGGTGACAGCACTCAGATACCACAAAGGTATGCCAGGGCTCAGGAGCCAGACCTTAGTGGGGAAAGCGTTTCAGACCCAGACAGTATGTCTCCCGCATGGCATAGAGAATGGCTTGATGAGGTAGGAGGATAGGCCAGG</v>
      </c>
      <c r="N9" t="str">
        <f t="shared" si="2"/>
        <v>CGGTG</v>
      </c>
      <c r="O9" t="str">
        <f t="shared" si="3"/>
        <v>AGCAC</v>
      </c>
      <c r="P9">
        <f t="shared" si="4"/>
        <v>154</v>
      </c>
      <c r="Q9" t="str">
        <f t="shared" si="5"/>
        <v>AGAGACAGGAGCCTTCGGTGACAGCACTCAGATACCACAAAG</v>
      </c>
    </row>
    <row r="10" spans="1:17" x14ac:dyDescent="0.25">
      <c r="A10" t="s">
        <v>106</v>
      </c>
      <c r="B10" t="s">
        <v>87</v>
      </c>
      <c r="C10" t="s">
        <v>6</v>
      </c>
      <c r="D10" t="s">
        <v>258</v>
      </c>
      <c r="E10" t="s">
        <v>264</v>
      </c>
      <c r="F10" t="str">
        <f>RIGHT(C10,3)</f>
        <v>G&gt;A</v>
      </c>
      <c r="G10">
        <v>3</v>
      </c>
      <c r="H10" t="str">
        <f t="shared" si="0"/>
        <v>chr9:132900622_132900713-132900714:G&gt;A</v>
      </c>
      <c r="I10" t="s">
        <v>160</v>
      </c>
      <c r="J10" t="s">
        <v>173</v>
      </c>
      <c r="K10" t="s">
        <v>256</v>
      </c>
      <c r="L10" t="s">
        <v>257</v>
      </c>
      <c r="M10" t="str">
        <f t="shared" si="1"/>
        <v>AGAGACAGGAGCCTTCGGTGCGAGCACTCAGATACCACAAAGATATGCCAGGGCTCGGGAGCCAGACCTTAGTGGGGAAAGCGTTTCAGACCCAGACAGTATGTCTCCCGCATGGCATAGAGAATGGCTTGATGAGGTAGGAGGATAGGCCAGG</v>
      </c>
      <c r="N10" t="str">
        <f t="shared" si="2"/>
        <v>CGGTG</v>
      </c>
      <c r="O10" t="str">
        <f t="shared" si="3"/>
        <v>AGCAC</v>
      </c>
      <c r="P10">
        <f t="shared" si="4"/>
        <v>154</v>
      </c>
      <c r="Q10" t="str">
        <f t="shared" si="5"/>
        <v>AGAGACAGGAGCCTTCGGTGCGAGCACTCAGATACCACAAAG</v>
      </c>
    </row>
    <row r="11" spans="1:17" x14ac:dyDescent="0.25">
      <c r="A11" t="s">
        <v>107</v>
      </c>
      <c r="F11" t="s">
        <v>148</v>
      </c>
      <c r="H11" t="str">
        <f t="shared" si="0"/>
        <v>chr9:132901496_:wt</v>
      </c>
      <c r="I11" t="s">
        <v>161</v>
      </c>
      <c r="J11" t="s">
        <v>132</v>
      </c>
      <c r="K11" t="s">
        <v>254</v>
      </c>
      <c r="L11" t="s">
        <v>257</v>
      </c>
      <c r="M11" t="str">
        <f t="shared" si="1"/>
        <v>AGAGACAGGAGCCTTCGGTGGTTCAGTCAGGTTTCCCAAAAGGTAAGAAGAAATGAGGCAGACCTGAATCTGCTGAAACACCATTTGCTAACATTCTTCCTTCAGACAGGTTAAAGAAATAGATTACTTGAGTGAGGTAGGAGGATAGGCCAGG</v>
      </c>
      <c r="N11" t="str">
        <f t="shared" si="2"/>
        <v>CGGTG</v>
      </c>
      <c r="O11" t="str">
        <f t="shared" si="3"/>
        <v>TCAGT</v>
      </c>
      <c r="P11">
        <f t="shared" si="4"/>
        <v>154</v>
      </c>
      <c r="Q11" t="str">
        <f t="shared" si="5"/>
        <v>AGAGACAGGAGCCTTCGGTGGTTCAGTCAGGTTTCCCAAAAG</v>
      </c>
    </row>
    <row r="12" spans="1:17" x14ac:dyDescent="0.25">
      <c r="A12" t="s">
        <v>107</v>
      </c>
      <c r="B12" t="s">
        <v>88</v>
      </c>
      <c r="C12" t="s">
        <v>7</v>
      </c>
      <c r="D12" t="s">
        <v>258</v>
      </c>
      <c r="E12" t="s">
        <v>265</v>
      </c>
      <c r="F12" t="str">
        <f>RIGHT(C12,3)</f>
        <v>A&gt;G</v>
      </c>
      <c r="G12">
        <v>4</v>
      </c>
      <c r="H12" t="str">
        <f t="shared" si="0"/>
        <v>chr9:132901496_132901537-132901538:A&gt;G</v>
      </c>
      <c r="I12" t="s">
        <v>162</v>
      </c>
      <c r="J12" t="s">
        <v>174</v>
      </c>
      <c r="K12" t="s">
        <v>254</v>
      </c>
      <c r="L12" t="s">
        <v>257</v>
      </c>
      <c r="M12" t="str">
        <f t="shared" si="1"/>
        <v>AGAGACAGGAGCCTTCGGTGGATCAGTCAGGTTTCCCAAAAGGTAAGAAGAAATGAGGCAGACCTGAATCTGCTGAAACACCATTTGCTAACGTTCTTCCTTCAGACAGGTTAAAGAAATAGATTACTTGAGTGAGGTAGGAGGATAGGCCAGG</v>
      </c>
      <c r="N12" t="str">
        <f t="shared" si="2"/>
        <v>CGGTG</v>
      </c>
      <c r="O12" t="str">
        <f t="shared" si="3"/>
        <v>TCAGT</v>
      </c>
      <c r="P12">
        <f t="shared" si="4"/>
        <v>154</v>
      </c>
      <c r="Q12" t="str">
        <f t="shared" si="5"/>
        <v>AGAGACAGGAGCCTTCGGTGGATCAGTCAGGTTTCCCAAAAG</v>
      </c>
    </row>
    <row r="13" spans="1:17" x14ac:dyDescent="0.25">
      <c r="A13" t="s">
        <v>107</v>
      </c>
      <c r="B13" t="s">
        <v>88</v>
      </c>
      <c r="C13" t="s">
        <v>8</v>
      </c>
      <c r="D13" t="s">
        <v>258</v>
      </c>
      <c r="E13" t="s">
        <v>266</v>
      </c>
      <c r="F13" t="str">
        <f>RIGHT(C13,3)</f>
        <v>C&gt;T</v>
      </c>
      <c r="G13">
        <v>4</v>
      </c>
      <c r="H13" t="str">
        <f t="shared" si="0"/>
        <v>chr9:132901496_132901548-132901549:C&gt;T</v>
      </c>
      <c r="I13" t="s">
        <v>163</v>
      </c>
      <c r="J13" t="s">
        <v>175</v>
      </c>
      <c r="K13" t="s">
        <v>254</v>
      </c>
      <c r="L13" t="s">
        <v>255</v>
      </c>
      <c r="M13" t="str">
        <f t="shared" si="1"/>
        <v>AGAGACAGGAGCCTTCGGTGTCTCAGTCAGGTTTCCCAAAAGGTAAGAAGAAATGAGGCAGACCTGAATCTGCTGAAACACTATTTGCTAACATTCTTCCTTCAGACAGGTTAAAGAAATAGATTACTTGAGTGAGGTAGGAGGATAGGCCAGG</v>
      </c>
      <c r="N13" t="str">
        <f t="shared" si="2"/>
        <v>CGGTG</v>
      </c>
      <c r="O13" t="str">
        <f t="shared" si="3"/>
        <v>TCAGT</v>
      </c>
      <c r="P13">
        <f t="shared" si="4"/>
        <v>154</v>
      </c>
      <c r="Q13" t="str">
        <f t="shared" si="5"/>
        <v>AGAGACAGGAGCCTTCGGTGTCTCAGTCAGGTTTCCCAAAAG</v>
      </c>
    </row>
    <row r="14" spans="1:17" x14ac:dyDescent="0.25">
      <c r="A14" t="s">
        <v>107</v>
      </c>
      <c r="B14" t="s">
        <v>88</v>
      </c>
      <c r="C14" t="s">
        <v>9</v>
      </c>
      <c r="D14" t="s">
        <v>258</v>
      </c>
      <c r="E14" t="s">
        <v>267</v>
      </c>
      <c r="F14" t="str">
        <f>RIGHT(C14,3)</f>
        <v>A&gt;C</v>
      </c>
      <c r="G14">
        <v>4</v>
      </c>
      <c r="H14" t="str">
        <f t="shared" si="0"/>
        <v>chr9:132901496_132901570-132901571:A&gt;C</v>
      </c>
      <c r="I14" t="s">
        <v>153</v>
      </c>
      <c r="J14" t="s">
        <v>176</v>
      </c>
      <c r="K14" t="s">
        <v>254</v>
      </c>
      <c r="L14" t="s">
        <v>257</v>
      </c>
      <c r="M14" t="str">
        <f t="shared" si="1"/>
        <v>AGAGACAGGAGCCTTCGGTGTATCAGTCAGGTTTCCCAAAAGGTAAGAAGAAATGAGGCCGACCTGAATCTGCTGAAACACCATTTGCTAACATTCTTCCTTCAGACAGGTTAAAGAAATAGATTACTTGAGTGAGGTAGGAGGATAGGCCAGG</v>
      </c>
      <c r="N14" t="str">
        <f t="shared" si="2"/>
        <v>CGGTG</v>
      </c>
      <c r="O14" t="str">
        <f t="shared" si="3"/>
        <v>TCAGT</v>
      </c>
      <c r="P14">
        <f t="shared" si="4"/>
        <v>154</v>
      </c>
      <c r="Q14" t="str">
        <f t="shared" si="5"/>
        <v>AGAGACAGGAGCCTTCGGTGTATCAGTCAGGTTTCCCAAAAG</v>
      </c>
    </row>
    <row r="15" spans="1:17" x14ac:dyDescent="0.25">
      <c r="A15" t="s">
        <v>107</v>
      </c>
      <c r="B15" t="s">
        <v>88</v>
      </c>
      <c r="C15" t="s">
        <v>123</v>
      </c>
      <c r="D15" t="s">
        <v>258</v>
      </c>
      <c r="E15" t="s">
        <v>268</v>
      </c>
      <c r="F15" t="s">
        <v>124</v>
      </c>
      <c r="G15">
        <v>4</v>
      </c>
      <c r="H15" t="str">
        <f t="shared" si="0"/>
        <v>chr9:132901496_132901578-132901581:GAA&gt;-</v>
      </c>
      <c r="I15" t="s">
        <v>154</v>
      </c>
      <c r="J15" t="s">
        <v>177</v>
      </c>
      <c r="K15" t="s">
        <v>256</v>
      </c>
      <c r="L15" t="s">
        <v>257</v>
      </c>
      <c r="M15" t="str">
        <f t="shared" si="1"/>
        <v>AGAGACAGGAGCCTTCGGTGAGTCAGTCAGGTTTCCCAAAAGGTAAGAAATGAGGCAGACCTGAATCTGCTGAAACACCATTTGCTAACATTCTTCCTTCAGACAGGTTAAAGAAATAGATTACTTGAGTGAGGTAGGAGGATAGGCCAGG</v>
      </c>
      <c r="N15" t="str">
        <f t="shared" si="2"/>
        <v>CGGTG</v>
      </c>
      <c r="O15" t="str">
        <f t="shared" si="3"/>
        <v>TCAGT</v>
      </c>
      <c r="P15">
        <f t="shared" si="4"/>
        <v>151</v>
      </c>
      <c r="Q15" t="str">
        <f t="shared" si="5"/>
        <v>AGAGACAGGAGCCTTCGGTGAGTCAGTCAGGTTTCCCAAAAG</v>
      </c>
    </row>
    <row r="16" spans="1:17" x14ac:dyDescent="0.25">
      <c r="A16" t="s">
        <v>108</v>
      </c>
      <c r="F16" t="s">
        <v>148</v>
      </c>
      <c r="H16" t="str">
        <f t="shared" si="0"/>
        <v>chr9:132902512_:wt</v>
      </c>
      <c r="I16" t="s">
        <v>155</v>
      </c>
      <c r="J16" t="s">
        <v>133</v>
      </c>
      <c r="K16" t="s">
        <v>256</v>
      </c>
      <c r="L16" t="s">
        <v>255</v>
      </c>
      <c r="M16" t="str">
        <f t="shared" si="1"/>
        <v>AGAGACAGGAGCCTTCGGTGCAACCAGAGCCAGGAATTACAGGTATAAACTGCAGCACCAGGCAAAGCCAACTGCGAGAATGCCGGAGAGCAGTGGGGAGGGAGGCAGTCAGTTTCCCTGGGTGTCCTTGACTTAGGTAGGAGGATAGGCCAGG</v>
      </c>
      <c r="N16" t="str">
        <f t="shared" si="2"/>
        <v>CGGTG</v>
      </c>
      <c r="O16" t="str">
        <f t="shared" si="3"/>
        <v>ACCAG</v>
      </c>
      <c r="P16">
        <f t="shared" si="4"/>
        <v>154</v>
      </c>
      <c r="Q16" t="str">
        <f t="shared" si="5"/>
        <v>AGAGACAGGAGCCTTCGGTGCAACCAGAGCCAGGAATTACAG</v>
      </c>
    </row>
    <row r="17" spans="1:17" x14ac:dyDescent="0.25">
      <c r="A17" t="s">
        <v>108</v>
      </c>
      <c r="B17" t="s">
        <v>89</v>
      </c>
      <c r="C17" t="s">
        <v>10</v>
      </c>
      <c r="D17" t="s">
        <v>258</v>
      </c>
      <c r="E17" t="s">
        <v>269</v>
      </c>
      <c r="F17" t="str">
        <f>RIGHT(C17,3)</f>
        <v>G&gt;A</v>
      </c>
      <c r="G17">
        <v>5</v>
      </c>
      <c r="H17" t="str">
        <f t="shared" si="0"/>
        <v>chr9:132902512_132902570-132902571:G&gt;A</v>
      </c>
      <c r="I17" s="3" t="s">
        <v>345</v>
      </c>
      <c r="J17" t="s">
        <v>178</v>
      </c>
      <c r="K17" t="s">
        <v>254</v>
      </c>
      <c r="L17" t="s">
        <v>257</v>
      </c>
      <c r="M17" t="str">
        <f t="shared" si="1"/>
        <v>AGAGACAGGAGCCTTCGGTGAGACCAGAGCCAGGAATTACAGGTATAAACTGCAGCACCAGGCAAAGCCAACTGCAAGAATGCCGGAGAGCAGTGGGGAGGGAGGCAGTCAGTTTCCCTGGGTGTCCTTGACTTAGGTAGGAGGATAGGCCAGG</v>
      </c>
      <c r="N17" t="str">
        <f t="shared" si="2"/>
        <v>CGGTG</v>
      </c>
      <c r="O17" t="str">
        <f t="shared" si="3"/>
        <v>ACCAG</v>
      </c>
      <c r="P17">
        <f t="shared" si="4"/>
        <v>154</v>
      </c>
      <c r="Q17" t="str">
        <f t="shared" si="5"/>
        <v>AGAGACAGGAGCCTTCGGTGAGACCAGAGCCAGGAATTACAG</v>
      </c>
    </row>
    <row r="18" spans="1:17" x14ac:dyDescent="0.25">
      <c r="A18" t="s">
        <v>108</v>
      </c>
      <c r="B18" t="s">
        <v>89</v>
      </c>
      <c r="C18" t="s">
        <v>11</v>
      </c>
      <c r="D18" t="s">
        <v>258</v>
      </c>
      <c r="E18" t="s">
        <v>270</v>
      </c>
      <c r="F18" t="str">
        <f>RIGHT(C18,3)</f>
        <v>C&gt;T</v>
      </c>
      <c r="G18">
        <v>5</v>
      </c>
      <c r="H18" t="str">
        <f t="shared" si="0"/>
        <v>chr9:132902512_132902587-132902588:C&gt;T</v>
      </c>
      <c r="I18" s="3" t="s">
        <v>346</v>
      </c>
      <c r="J18" t="s">
        <v>179</v>
      </c>
      <c r="K18" t="s">
        <v>254</v>
      </c>
      <c r="L18" t="s">
        <v>255</v>
      </c>
      <c r="M18" t="str">
        <f t="shared" si="1"/>
        <v>AGAGACAGGAGCCTTCGGTGCGACCAGAGCCAGGAATTACAGGTATAAACTGCAGCACTAGGCAAAGCCAACTGCGAGAATGCCGGAGAGCAGTGGGGAGGGAGGCAGTCAGTTTCCCTGGGTGTCCTTGACTTAGGTAGGAGGATAGGCCAGG</v>
      </c>
      <c r="N18" t="str">
        <f t="shared" si="2"/>
        <v>CGGTG</v>
      </c>
      <c r="O18" t="str">
        <f t="shared" si="3"/>
        <v>ACCAG</v>
      </c>
      <c r="P18">
        <f t="shared" si="4"/>
        <v>154</v>
      </c>
      <c r="Q18" t="str">
        <f t="shared" si="5"/>
        <v>AGAGACAGGAGCCTTCGGTGCGACCAGAGCCAGGAATTACAG</v>
      </c>
    </row>
    <row r="19" spans="1:17" x14ac:dyDescent="0.25">
      <c r="A19" t="s">
        <v>108</v>
      </c>
      <c r="B19" t="s">
        <v>89</v>
      </c>
      <c r="C19" t="s">
        <v>12</v>
      </c>
      <c r="D19" t="s">
        <v>258</v>
      </c>
      <c r="E19" t="s">
        <v>271</v>
      </c>
      <c r="F19" t="str">
        <f>RIGHT(C19,3)</f>
        <v>C&gt;T</v>
      </c>
      <c r="G19">
        <v>5</v>
      </c>
      <c r="H19" t="str">
        <f t="shared" si="0"/>
        <v>chr9:132902512_132902590-132902591:C&gt;T</v>
      </c>
      <c r="I19" s="3" t="s">
        <v>347</v>
      </c>
      <c r="J19" t="s">
        <v>180</v>
      </c>
      <c r="K19" t="s">
        <v>254</v>
      </c>
      <c r="L19" t="s">
        <v>255</v>
      </c>
      <c r="M19" t="str">
        <f t="shared" si="1"/>
        <v>AGAGACAGGAGCCTTCGGTGGAACCAGAGCCAGGAATTACAGGTATAAACTGCAGTACCAGGCAAAGCCAACTGCGAGAATGCCGGAGAGCAGTGGGGAGGGAGGCAGTCAGTTTCCCTGGGTGTCCTTGACTTAGGTAGGAGGATAGGCCAGG</v>
      </c>
      <c r="N19" t="str">
        <f t="shared" si="2"/>
        <v>CGGTG</v>
      </c>
      <c r="O19" t="str">
        <f t="shared" si="3"/>
        <v>ACCAG</v>
      </c>
      <c r="P19">
        <f t="shared" si="4"/>
        <v>154</v>
      </c>
      <c r="Q19" t="str">
        <f t="shared" si="5"/>
        <v>AGAGACAGGAGCCTTCGGTGGAACCAGAGCCAGGAATTACAG</v>
      </c>
    </row>
    <row r="20" spans="1:17" x14ac:dyDescent="0.25">
      <c r="A20" t="s">
        <v>108</v>
      </c>
      <c r="B20" t="s">
        <v>89</v>
      </c>
      <c r="C20" t="s">
        <v>13</v>
      </c>
      <c r="D20" t="s">
        <v>258</v>
      </c>
      <c r="E20" t="s">
        <v>272</v>
      </c>
      <c r="F20" t="str">
        <f>RIGHT(C20,3)</f>
        <v>C&gt;T</v>
      </c>
      <c r="G20">
        <v>5</v>
      </c>
      <c r="H20" t="str">
        <f t="shared" si="0"/>
        <v>chr9:132902512_132902596-132902597:C&gt;T</v>
      </c>
      <c r="I20" t="s">
        <v>158</v>
      </c>
      <c r="J20" t="s">
        <v>181</v>
      </c>
      <c r="K20" t="s">
        <v>256</v>
      </c>
      <c r="L20" t="s">
        <v>257</v>
      </c>
      <c r="M20" t="str">
        <f t="shared" si="1"/>
        <v>AGAGACAGGAGCCTTCGGTGGCACCAGAGCCAGGAATTACAGGTATAAATTGCAGCACCAGGCAAAGCCAACTGCGAGAATGCCGGAGAGCAGTGGGGAGGGAGGCAGTCAGTTTCCCTGGGTGTCCTTGACTTAGGTAGGAGGATAGGCCAGG</v>
      </c>
      <c r="N20" t="str">
        <f t="shared" si="2"/>
        <v>CGGTG</v>
      </c>
      <c r="O20" t="str">
        <f t="shared" si="3"/>
        <v>ACCAG</v>
      </c>
      <c r="P20">
        <f t="shared" si="4"/>
        <v>154</v>
      </c>
      <c r="Q20" t="str">
        <f t="shared" si="5"/>
        <v>AGAGACAGGAGCCTTCGGTGGCACCAGAGCCAGGAATTACAG</v>
      </c>
    </row>
    <row r="21" spans="1:17" x14ac:dyDescent="0.25">
      <c r="A21" t="s">
        <v>108</v>
      </c>
      <c r="B21" t="s">
        <v>89</v>
      </c>
      <c r="C21" t="s">
        <v>14</v>
      </c>
      <c r="D21" t="s">
        <v>258</v>
      </c>
      <c r="E21" t="s">
        <v>273</v>
      </c>
      <c r="F21" t="str">
        <f>RIGHT(C21,3)</f>
        <v>G&gt;C</v>
      </c>
      <c r="G21">
        <v>5</v>
      </c>
      <c r="H21" t="str">
        <f t="shared" si="0"/>
        <v>chr9:132902512_132902603-132902604:G&gt;C</v>
      </c>
      <c r="I21" t="s">
        <v>159</v>
      </c>
      <c r="J21" t="s">
        <v>182</v>
      </c>
      <c r="K21" t="s">
        <v>254</v>
      </c>
      <c r="L21" t="s">
        <v>255</v>
      </c>
      <c r="M21" t="str">
        <f t="shared" si="1"/>
        <v>AGAGACAGGAGCCTTCGGTGACACCAGAGCCAGGAATTACAGCTATAAACTGCAGCACCAGGCAAAGCCAACTGCGAGAATGCCGGAGAGCAGTGGGGAGGGAGGCAGTCAGTTTCCCTGGGTGTCCTTGACTTAGGTAGGAGGATAGGCCAGG</v>
      </c>
      <c r="N21" t="str">
        <f t="shared" si="2"/>
        <v>CGGTG</v>
      </c>
      <c r="O21" t="str">
        <f t="shared" si="3"/>
        <v>ACCAG</v>
      </c>
      <c r="P21">
        <f t="shared" si="4"/>
        <v>154</v>
      </c>
      <c r="Q21" t="str">
        <f t="shared" si="5"/>
        <v>AGAGACAGGAGCCTTCGGTGACACCAGAGCCAGGAATTACAG</v>
      </c>
    </row>
    <row r="22" spans="1:17" x14ac:dyDescent="0.25">
      <c r="A22" t="s">
        <v>109</v>
      </c>
      <c r="F22" t="s">
        <v>148</v>
      </c>
      <c r="H22" t="str">
        <f t="shared" si="0"/>
        <v>chr9:132903558_:wt</v>
      </c>
      <c r="I22" t="s">
        <v>160</v>
      </c>
      <c r="J22" t="s">
        <v>134</v>
      </c>
      <c r="K22" t="s">
        <v>254</v>
      </c>
      <c r="L22" t="s">
        <v>257</v>
      </c>
      <c r="M22" t="str">
        <f t="shared" si="1"/>
        <v>AGAGACAGGAGCCTTCGGTGCGAGGAACATAATGCTGCCATGGTGAGGACTGGGGAGGGGACAGGTGGAGCTTGCTTTTTGTTTTGTTTTGGGTCAGCATGATAGCTTATAAAGCACAGCAGCCGAGGAGGTCAAGGTAGGAGGATAGGCCAGG</v>
      </c>
      <c r="N22" t="str">
        <f t="shared" si="2"/>
        <v>CGGTG</v>
      </c>
      <c r="O22" t="str">
        <f t="shared" si="3"/>
        <v>AGGAA</v>
      </c>
      <c r="P22">
        <f t="shared" si="4"/>
        <v>154</v>
      </c>
      <c r="Q22" t="str">
        <f t="shared" si="5"/>
        <v>AGAGACAGGAGCCTTCGGTGCGAGGAACATAATGCTGCCATG</v>
      </c>
    </row>
    <row r="23" spans="1:17" x14ac:dyDescent="0.25">
      <c r="A23" t="s">
        <v>109</v>
      </c>
      <c r="B23" t="s">
        <v>90</v>
      </c>
      <c r="C23" t="s">
        <v>15</v>
      </c>
      <c r="D23" t="s">
        <v>258</v>
      </c>
      <c r="E23" t="s">
        <v>274</v>
      </c>
      <c r="F23" t="str">
        <f>RIGHT(C23,3)</f>
        <v>G&gt;C</v>
      </c>
      <c r="G23">
        <v>5</v>
      </c>
      <c r="H23" t="str">
        <f t="shared" si="0"/>
        <v>chr9:132903558_132903618-132903619:G&gt;C</v>
      </c>
      <c r="I23" t="s">
        <v>161</v>
      </c>
      <c r="J23" t="s">
        <v>183</v>
      </c>
      <c r="K23" t="s">
        <v>256</v>
      </c>
      <c r="L23" t="s">
        <v>255</v>
      </c>
      <c r="M23" t="str">
        <f t="shared" si="1"/>
        <v>AGAGACAGGAGCCTTCGGTGGTAGGAACATAATGCTGCCATGGTGAGGACTGGGGAGGGGACAGGTGGAGCTTCCTTTTTGTTTTGTTTTGGGTCAGCATGATAGCTTATAAAGCACAGCAGCCGAGGAGGTCAAGGTAGGAGGATAGGCCAGG</v>
      </c>
      <c r="N23" t="str">
        <f t="shared" si="2"/>
        <v>CGGTG</v>
      </c>
      <c r="O23" t="str">
        <f t="shared" si="3"/>
        <v>AGGAA</v>
      </c>
      <c r="P23">
        <f t="shared" si="4"/>
        <v>154</v>
      </c>
      <c r="Q23" t="str">
        <f t="shared" si="5"/>
        <v>AGAGACAGGAGCCTTCGGTGGTAGGAACATAATGCTGCCATG</v>
      </c>
    </row>
    <row r="24" spans="1:17" x14ac:dyDescent="0.25">
      <c r="A24" t="s">
        <v>109</v>
      </c>
      <c r="B24" t="s">
        <v>90</v>
      </c>
      <c r="C24" t="s">
        <v>16</v>
      </c>
      <c r="D24" t="s">
        <v>258</v>
      </c>
      <c r="E24" t="s">
        <v>275</v>
      </c>
      <c r="F24" t="str">
        <f>RIGHT(C24,3)</f>
        <v>G&gt;A</v>
      </c>
      <c r="G24">
        <v>5</v>
      </c>
      <c r="H24" t="str">
        <f t="shared" si="0"/>
        <v>chr9:132903558_132903627-132903628:G&gt;A</v>
      </c>
      <c r="I24" s="2" t="s">
        <v>343</v>
      </c>
      <c r="J24" t="s">
        <v>184</v>
      </c>
      <c r="K24" t="s">
        <v>254</v>
      </c>
      <c r="L24" t="s">
        <v>257</v>
      </c>
      <c r="M24" t="str">
        <f t="shared" si="1"/>
        <v>AGAGACAGGAGCCTTCGGTGATAGGAACATAATGCTGCCATGGTGAGGACTGGGGAGGGGACAGATGGAGCTTGCTTTTTGTTTTGTTTTGGGTCAGCATGATAGCTTATAAAGCACAGCAGCCGAGGAGGTCAAGGTAGGAGGATAGGCCAGG</v>
      </c>
      <c r="N24" t="str">
        <f t="shared" si="2"/>
        <v>CGGTG</v>
      </c>
      <c r="O24" t="str">
        <f t="shared" si="3"/>
        <v>AGGAA</v>
      </c>
      <c r="P24">
        <f t="shared" si="4"/>
        <v>154</v>
      </c>
      <c r="Q24" t="str">
        <f t="shared" si="5"/>
        <v>AGAGACAGGAGCCTTCGGTGATAGGAACATAATGCTGCCATG</v>
      </c>
    </row>
    <row r="25" spans="1:17" x14ac:dyDescent="0.25">
      <c r="A25" t="s">
        <v>109</v>
      </c>
      <c r="B25" t="s">
        <v>90</v>
      </c>
      <c r="C25" t="s">
        <v>17</v>
      </c>
      <c r="D25" t="s">
        <v>258</v>
      </c>
      <c r="E25" t="s">
        <v>276</v>
      </c>
      <c r="F25" t="str">
        <f>RIGHT(C25,3)</f>
        <v>G&gt;A</v>
      </c>
      <c r="G25">
        <v>5</v>
      </c>
      <c r="H25" t="str">
        <f t="shared" si="0"/>
        <v>chr9:132903558_132903633-132903634:G&gt;A</v>
      </c>
      <c r="I25" t="s">
        <v>163</v>
      </c>
      <c r="J25" t="s">
        <v>185</v>
      </c>
      <c r="K25" t="s">
        <v>256</v>
      </c>
      <c r="L25" t="s">
        <v>255</v>
      </c>
      <c r="M25" t="str">
        <f t="shared" si="1"/>
        <v>AGAGACAGGAGCCTTCGGTGTCAGGAACATAATGCTGCCATGGTGAGGACTGGGGAGGAGACAGGTGGAGCTTGCTTTTTGTTTTGTTTTGGGTCAGCATGATAGCTTATAAAGCACAGCAGCCGAGGAGGTCAAGGTAGGAGGATAGGCCAGG</v>
      </c>
      <c r="N25" t="str">
        <f t="shared" si="2"/>
        <v>CGGTG</v>
      </c>
      <c r="O25" t="str">
        <f t="shared" si="3"/>
        <v>AGGAA</v>
      </c>
      <c r="P25">
        <f t="shared" si="4"/>
        <v>154</v>
      </c>
      <c r="Q25" t="str">
        <f t="shared" si="5"/>
        <v>AGAGACAGGAGCCTTCGGTGTCAGGAACATAATGCTGCCATG</v>
      </c>
    </row>
    <row r="26" spans="1:17" x14ac:dyDescent="0.25">
      <c r="A26" t="s">
        <v>109</v>
      </c>
      <c r="B26" t="s">
        <v>90</v>
      </c>
      <c r="C26" t="s">
        <v>18</v>
      </c>
      <c r="D26" t="s">
        <v>258</v>
      </c>
      <c r="E26" t="s">
        <v>277</v>
      </c>
      <c r="F26" t="str">
        <f>RIGHT(C26,3)</f>
        <v>G&gt;T</v>
      </c>
      <c r="G26">
        <v>5</v>
      </c>
      <c r="H26" t="str">
        <f t="shared" si="0"/>
        <v>chr9:132903558_132903640-132903641:G&gt;T</v>
      </c>
      <c r="I26" s="2" t="s">
        <v>344</v>
      </c>
      <c r="J26" t="s">
        <v>186</v>
      </c>
      <c r="K26" t="s">
        <v>254</v>
      </c>
      <c r="L26" t="s">
        <v>257</v>
      </c>
      <c r="M26" t="str">
        <f t="shared" si="1"/>
        <v>AGAGACAGGAGCCTTCGGTGTGAGGAACATAATGCTGCCATGGTGAGGACTTGGGAGGGGACAGGTGGAGCTTGCTTTTTGTTTTGTTTTGGGTCAGCATGATAGCTTATAAAGCACAGCAGCCGAGGAGGTCAAGGTAGGAGGATAGGCCAGG</v>
      </c>
      <c r="N26" t="str">
        <f t="shared" si="2"/>
        <v>CGGTG</v>
      </c>
      <c r="O26" t="str">
        <f t="shared" si="3"/>
        <v>AGGAA</v>
      </c>
      <c r="P26">
        <f t="shared" si="4"/>
        <v>154</v>
      </c>
      <c r="Q26" t="str">
        <f t="shared" si="5"/>
        <v>AGAGACAGGAGCCTTCGGTGTGAGGAACATAATGCTGCCATG</v>
      </c>
    </row>
    <row r="27" spans="1:17" x14ac:dyDescent="0.25">
      <c r="A27" t="s">
        <v>109</v>
      </c>
      <c r="B27" t="s">
        <v>90</v>
      </c>
      <c r="C27" t="s">
        <v>19</v>
      </c>
      <c r="D27" t="s">
        <v>258</v>
      </c>
      <c r="E27" t="s">
        <v>278</v>
      </c>
      <c r="F27" t="str">
        <f>RIGHT(C27,3)</f>
        <v>T&gt;A</v>
      </c>
      <c r="G27">
        <v>5</v>
      </c>
      <c r="H27" t="str">
        <f t="shared" si="0"/>
        <v>chr9:132903558_132903648-132903649:T&gt;A</v>
      </c>
      <c r="I27" t="s">
        <v>154</v>
      </c>
      <c r="J27" t="s">
        <v>187</v>
      </c>
      <c r="K27" t="s">
        <v>254</v>
      </c>
      <c r="L27" t="s">
        <v>257</v>
      </c>
      <c r="M27" t="str">
        <f t="shared" si="1"/>
        <v>AGAGACAGGAGCCTTCGGTGAGAGGAACATAATGCTGCCATGGAGAGGACTGGGGAGGGGACAGGTGGAGCTTGCTTTTTGTTTTGTTTTGGGTCAGCATGATAGCTTATAAAGCACAGCAGCCGAGGAGGTCAAGGTAGGAGGATAGGCCAGG</v>
      </c>
      <c r="N27" t="str">
        <f t="shared" si="2"/>
        <v>CGGTG</v>
      </c>
      <c r="O27" t="str">
        <f t="shared" si="3"/>
        <v>AGGAA</v>
      </c>
      <c r="P27">
        <f t="shared" si="4"/>
        <v>154</v>
      </c>
      <c r="Q27" t="str">
        <f t="shared" si="5"/>
        <v>AGAGACAGGAGCCTTCGGTGAGAGGAACATAATGCTGCCATG</v>
      </c>
    </row>
    <row r="28" spans="1:17" x14ac:dyDescent="0.25">
      <c r="A28" t="s">
        <v>110</v>
      </c>
      <c r="F28" t="s">
        <v>148</v>
      </c>
      <c r="H28" t="str">
        <f t="shared" si="0"/>
        <v>chr9:132904318_:wt</v>
      </c>
      <c r="I28" t="s">
        <v>155</v>
      </c>
      <c r="J28" t="s">
        <v>135</v>
      </c>
      <c r="K28" t="s">
        <v>256</v>
      </c>
      <c r="L28" t="s">
        <v>255</v>
      </c>
      <c r="M28" t="str">
        <f t="shared" si="1"/>
        <v>AGAGACAGGAGCCTTCGGTGCACGACTGGACCCACTTTGGAGGTAAAGTTGTTACTTTAGCTCCAAATCCAGCCCACATGGTTCCTGCTTGCTTGTTGCCCTTTCTGTCCTTGAAGGAGGTGCCCTCTGGGAAAAGGTAGGAGGATAGGCCAGG</v>
      </c>
      <c r="N28" t="str">
        <f t="shared" si="2"/>
        <v>CGGTG</v>
      </c>
      <c r="O28" t="str">
        <f t="shared" si="3"/>
        <v>CGACT</v>
      </c>
      <c r="P28">
        <f t="shared" si="4"/>
        <v>154</v>
      </c>
      <c r="Q28" t="str">
        <f t="shared" si="5"/>
        <v>AGAGACAGGAGCCTTCGGTGCACGACTGGACCCACTTTGGAG</v>
      </c>
    </row>
    <row r="29" spans="1:17" x14ac:dyDescent="0.25">
      <c r="A29" t="s">
        <v>110</v>
      </c>
      <c r="B29" t="s">
        <v>91</v>
      </c>
      <c r="C29" t="s">
        <v>20</v>
      </c>
      <c r="D29" t="s">
        <v>258</v>
      </c>
      <c r="E29" t="s">
        <v>279</v>
      </c>
      <c r="F29" t="str">
        <f>RIGHT(C29,3)</f>
        <v>A&gt;C</v>
      </c>
      <c r="G29">
        <v>5</v>
      </c>
      <c r="H29" t="str">
        <f t="shared" si="0"/>
        <v>chr9:132904318_132904407-132904408:A&gt;C</v>
      </c>
      <c r="I29" t="s">
        <v>156</v>
      </c>
      <c r="J29" t="s">
        <v>188</v>
      </c>
      <c r="K29" t="s">
        <v>254</v>
      </c>
      <c r="L29" t="s">
        <v>255</v>
      </c>
      <c r="M29" t="str">
        <f t="shared" si="1"/>
        <v>AGAGACAGGAGCCTTCGGTGATCGACTGGACCCACTTTGGAGGTCAAGTTGTTACTTTAGCTCCAAATCCAGCCCACATGGTTCCTGCTTGCTTGTTGCCCTTTCTGTCCTTGAAGGAGGTGCCCTCTGGGAAAAGGTAGGAGGATAGGCCAGG</v>
      </c>
      <c r="N29" t="str">
        <f t="shared" si="2"/>
        <v>CGGTG</v>
      </c>
      <c r="O29" t="str">
        <f t="shared" si="3"/>
        <v>CGACT</v>
      </c>
      <c r="P29">
        <f t="shared" si="4"/>
        <v>154</v>
      </c>
      <c r="Q29" t="str">
        <f t="shared" si="5"/>
        <v>AGAGACAGGAGCCTTCGGTGATCGACTGGACCCACTTTGGAG</v>
      </c>
    </row>
    <row r="30" spans="1:17" x14ac:dyDescent="0.25">
      <c r="A30" t="s">
        <v>110</v>
      </c>
      <c r="B30" t="s">
        <v>91</v>
      </c>
      <c r="C30" t="s">
        <v>21</v>
      </c>
      <c r="D30" t="s">
        <v>258</v>
      </c>
      <c r="E30" t="s">
        <v>280</v>
      </c>
      <c r="F30" t="str">
        <f>RIGHT(C30,3)</f>
        <v>T&gt;C</v>
      </c>
      <c r="G30">
        <v>5</v>
      </c>
      <c r="H30" t="str">
        <f t="shared" si="0"/>
        <v>chr9:132904318_132904408-132904409:T&gt;C</v>
      </c>
      <c r="I30" t="s">
        <v>340</v>
      </c>
      <c r="J30" t="s">
        <v>189</v>
      </c>
      <c r="K30" t="s">
        <v>254</v>
      </c>
      <c r="L30" t="s">
        <v>255</v>
      </c>
      <c r="M30" t="str">
        <f t="shared" si="1"/>
        <v>AGAGACAGGAGCCTTCGGTGTGCGACTGGACCCACTTTGGAGGCAAAGTTGTTACTTTAGCTCCAAATCCAGCCCACATGGTTCCTGCTTGCTTGTTGCCCTTTCTGTCCTTGAAGGAGGTGCCCTCTGGGAAAAGGTAGGAGGATAGGCCAGG</v>
      </c>
      <c r="N30" t="str">
        <f t="shared" si="2"/>
        <v>CGGTG</v>
      </c>
      <c r="O30" t="str">
        <f t="shared" si="3"/>
        <v>CGACT</v>
      </c>
      <c r="P30">
        <f t="shared" si="4"/>
        <v>154</v>
      </c>
      <c r="Q30" t="str">
        <f t="shared" si="5"/>
        <v>AGAGACAGGAGCCTTCGGTGTGCGACTGGACCCACTTTGGAG</v>
      </c>
    </row>
    <row r="31" spans="1:17" x14ac:dyDescent="0.25">
      <c r="A31" t="s">
        <v>110</v>
      </c>
      <c r="B31" t="s">
        <v>91</v>
      </c>
      <c r="C31" t="s">
        <v>22</v>
      </c>
      <c r="D31" t="s">
        <v>258</v>
      </c>
      <c r="E31" t="s">
        <v>280</v>
      </c>
      <c r="F31" t="str">
        <f>RIGHT(C31,3)</f>
        <v>T&gt;A</v>
      </c>
      <c r="G31">
        <v>5</v>
      </c>
      <c r="H31" t="str">
        <f t="shared" si="0"/>
        <v>chr9:132904318_132904408-132904409:T&gt;A</v>
      </c>
      <c r="I31" t="s">
        <v>157</v>
      </c>
      <c r="J31" t="s">
        <v>190</v>
      </c>
      <c r="K31" t="s">
        <v>254</v>
      </c>
      <c r="L31" t="s">
        <v>257</v>
      </c>
      <c r="M31" t="str">
        <f t="shared" si="1"/>
        <v>AGAGACAGGAGCCTTCGGTGCTCGACTGGACCCACTTTGGAGGAAAAGTTGTTACTTTAGCTCCAAATCCAGCCCACATGGTTCCTGCTTGCTTGTTGCCCTTTCTGTCCTTGAAGGAGGTGCCCTCTGGGAAAAGGTAGGAGGATAGGCCAGG</v>
      </c>
      <c r="N31" t="str">
        <f t="shared" si="2"/>
        <v>CGGTG</v>
      </c>
      <c r="O31" t="str">
        <f t="shared" si="3"/>
        <v>CGACT</v>
      </c>
      <c r="P31">
        <f t="shared" si="4"/>
        <v>154</v>
      </c>
      <c r="Q31" t="str">
        <f t="shared" si="5"/>
        <v>AGAGACAGGAGCCTTCGGTGCTCGACTGGACCCACTTTGGAG</v>
      </c>
    </row>
    <row r="32" spans="1:17" x14ac:dyDescent="0.25">
      <c r="A32" t="s">
        <v>110</v>
      </c>
      <c r="B32" t="s">
        <v>91</v>
      </c>
      <c r="C32" t="s">
        <v>23</v>
      </c>
      <c r="D32" t="s">
        <v>258</v>
      </c>
      <c r="E32" t="s">
        <v>280</v>
      </c>
      <c r="F32" t="str">
        <f>RIGHT(C32,3)</f>
        <v>T&gt;G</v>
      </c>
      <c r="G32">
        <v>5</v>
      </c>
      <c r="H32" t="str">
        <f t="shared" si="0"/>
        <v>chr9:132904318_132904408-132904409:T&gt;G</v>
      </c>
      <c r="I32" t="s">
        <v>158</v>
      </c>
      <c r="J32" t="s">
        <v>191</v>
      </c>
      <c r="K32" t="s">
        <v>254</v>
      </c>
      <c r="L32" t="s">
        <v>257</v>
      </c>
      <c r="M32" t="str">
        <f t="shared" si="1"/>
        <v>AGAGACAGGAGCCTTCGGTGGCCGACTGGACCCACTTTGGAGGGAAAGTTGTTACTTTAGCTCCAAATCCAGCCCACATGGTTCCTGCTTGCTTGTTGCCCTTTCTGTCCTTGAAGGAGGTGCCCTCTGGGAAAAGGTAGGAGGATAGGCCAGG</v>
      </c>
      <c r="N32" t="str">
        <f t="shared" si="2"/>
        <v>CGGTG</v>
      </c>
      <c r="O32" t="str">
        <f t="shared" si="3"/>
        <v>CGACT</v>
      </c>
      <c r="P32">
        <f t="shared" si="4"/>
        <v>154</v>
      </c>
      <c r="Q32" t="str">
        <f t="shared" si="5"/>
        <v>AGAGACAGGAGCCTTCGGTGGCCGACTGGACCCACTTTGGAG</v>
      </c>
    </row>
    <row r="33" spans="1:17" x14ac:dyDescent="0.25">
      <c r="A33" t="s">
        <v>110</v>
      </c>
      <c r="B33" t="s">
        <v>91</v>
      </c>
      <c r="C33" t="s">
        <v>24</v>
      </c>
      <c r="D33" t="s">
        <v>258</v>
      </c>
      <c r="E33" t="s">
        <v>281</v>
      </c>
      <c r="F33" t="str">
        <f>RIGHT(C33,3)</f>
        <v>G&gt;A</v>
      </c>
      <c r="G33">
        <v>5</v>
      </c>
      <c r="H33" t="str">
        <f t="shared" si="0"/>
        <v>chr9:132904318_132904409-132904410:G&gt;A</v>
      </c>
      <c r="I33" t="s">
        <v>159</v>
      </c>
      <c r="J33" t="s">
        <v>192</v>
      </c>
      <c r="K33" t="s">
        <v>254</v>
      </c>
      <c r="L33" t="s">
        <v>255</v>
      </c>
      <c r="M33" t="str">
        <f t="shared" si="1"/>
        <v>AGAGACAGGAGCCTTCGGTGACCGACTGGACCCACTTTGGAGATAAAGTTGTTACTTTAGCTCCAAATCCAGCCCACATGGTTCCTGCTTGCTTGTTGCCCTTTCTGTCCTTGAAGGAGGTGCCCTCTGGGAAAAGGTAGGAGGATAGGCCAGG</v>
      </c>
      <c r="N33" t="str">
        <f t="shared" si="2"/>
        <v>CGGTG</v>
      </c>
      <c r="O33" t="str">
        <f t="shared" si="3"/>
        <v>CGACT</v>
      </c>
      <c r="P33">
        <f t="shared" si="4"/>
        <v>154</v>
      </c>
      <c r="Q33" t="str">
        <f t="shared" si="5"/>
        <v>AGAGACAGGAGCCTTCGGTGACCGACTGGACCCACTTTGGAG</v>
      </c>
    </row>
    <row r="34" spans="1:17" x14ac:dyDescent="0.25">
      <c r="A34" t="s">
        <v>111</v>
      </c>
      <c r="F34" t="s">
        <v>148</v>
      </c>
      <c r="H34" t="str">
        <f t="shared" si="0"/>
        <v>chr9:132905488_:wt</v>
      </c>
      <c r="I34" t="s">
        <v>160</v>
      </c>
      <c r="J34" t="s">
        <v>136</v>
      </c>
      <c r="K34" t="s">
        <v>256</v>
      </c>
      <c r="L34" t="s">
        <v>255</v>
      </c>
      <c r="M34" t="str">
        <f t="shared" si="1"/>
        <v>AGAGACAGGAGCCTTCGGTGCGCACAGCAAGGAGCTGAACAAGTAAGGGACTGGGGCACTCTCTTCTGTGTTAAATGGTCCATTTTATTGTGAAGTACAGAAAGTGTAAGAGAGGAACAAGAATCATTCTTCACAGGTAGGAGGATAGGCCAGG</v>
      </c>
      <c r="N34" t="str">
        <f t="shared" si="2"/>
        <v>CGGTG</v>
      </c>
      <c r="O34" t="str">
        <f t="shared" si="3"/>
        <v>CACAG</v>
      </c>
      <c r="P34">
        <f t="shared" si="4"/>
        <v>154</v>
      </c>
      <c r="Q34" t="str">
        <f t="shared" si="5"/>
        <v>AGAGACAGGAGCCTTCGGTGCGCACAGCAAGGAGCTGAACAA</v>
      </c>
    </row>
    <row r="35" spans="1:17" x14ac:dyDescent="0.25">
      <c r="A35" t="s">
        <v>111</v>
      </c>
      <c r="B35" t="s">
        <v>92</v>
      </c>
      <c r="C35" t="s">
        <v>125</v>
      </c>
      <c r="D35" t="s">
        <v>258</v>
      </c>
      <c r="E35" t="s">
        <v>282</v>
      </c>
      <c r="F35" t="s">
        <v>126</v>
      </c>
      <c r="G35">
        <v>7</v>
      </c>
      <c r="H35" t="str">
        <f t="shared" si="0"/>
        <v>chr9:132905488_132905508-132905510:AG&gt;-</v>
      </c>
      <c r="I35" t="s">
        <v>161</v>
      </c>
      <c r="J35" t="s">
        <v>193</v>
      </c>
      <c r="K35" t="s">
        <v>256</v>
      </c>
      <c r="L35" t="s">
        <v>255</v>
      </c>
      <c r="M35" t="str">
        <f t="shared" si="1"/>
        <v>AGAGACAGGAGCCTTCGGTGGTCACAGCAAGGAGCTGAACAAGTAAGGGACTGGGGCACTCTCTTCTGTGTTAAATGGTCCATTTTATTGTGAAGTACAGAAAGTGTAAGAGGAACAAGAATCATTCTTCACAGGTAGGAGGATAGGCCAGG</v>
      </c>
      <c r="N35" t="str">
        <f t="shared" si="2"/>
        <v>CGGTG</v>
      </c>
      <c r="O35" t="str">
        <f t="shared" si="3"/>
        <v>CACAG</v>
      </c>
      <c r="P35">
        <f t="shared" si="4"/>
        <v>152</v>
      </c>
      <c r="Q35" t="str">
        <f t="shared" si="5"/>
        <v>AGAGACAGGAGCCTTCGGTGGTCACAGCAAGGAGCTGAACAA</v>
      </c>
    </row>
    <row r="36" spans="1:17" x14ac:dyDescent="0.25">
      <c r="A36" t="s">
        <v>111</v>
      </c>
      <c r="B36" t="s">
        <v>92</v>
      </c>
      <c r="C36" t="s">
        <v>25</v>
      </c>
      <c r="D36" t="s">
        <v>258</v>
      </c>
      <c r="E36" t="s">
        <v>283</v>
      </c>
      <c r="F36" t="str">
        <f t="shared" ref="F36:F41" si="6">RIGHT(C36,3)</f>
        <v>C&gt;G</v>
      </c>
      <c r="G36">
        <v>7</v>
      </c>
      <c r="H36" t="str">
        <f t="shared" si="0"/>
        <v>chr9:132905488_132905563-132905564:C&gt;G</v>
      </c>
      <c r="I36" t="s">
        <v>162</v>
      </c>
      <c r="J36" t="s">
        <v>194</v>
      </c>
      <c r="K36" t="s">
        <v>256</v>
      </c>
      <c r="L36" t="s">
        <v>255</v>
      </c>
      <c r="M36" t="str">
        <f t="shared" si="1"/>
        <v>AGAGACAGGAGCCTTCGGTGGACACAGCAAGGAGCTGAACAAGTAAGGGACTGGGGCAGTCTCTTCTGTGTTAAATGGTCCATTTTATTGTGAAGTACAGAAAGTGTAAGAGAGGAACAAGAATCATTCTTCACAGGTAGGAGGATAGGCCAGG</v>
      </c>
      <c r="N36" t="str">
        <f t="shared" si="2"/>
        <v>CGGTG</v>
      </c>
      <c r="O36" t="str">
        <f t="shared" si="3"/>
        <v>CACAG</v>
      </c>
      <c r="P36">
        <f t="shared" si="4"/>
        <v>154</v>
      </c>
      <c r="Q36" t="str">
        <f t="shared" si="5"/>
        <v>AGAGACAGGAGCCTTCGGTGGACACAGCAAGGAGCTGAACAA</v>
      </c>
    </row>
    <row r="37" spans="1:17" x14ac:dyDescent="0.25">
      <c r="A37" t="s">
        <v>111</v>
      </c>
      <c r="B37" t="s">
        <v>92</v>
      </c>
      <c r="C37" t="s">
        <v>26</v>
      </c>
      <c r="D37" t="s">
        <v>258</v>
      </c>
      <c r="E37" t="s">
        <v>284</v>
      </c>
      <c r="F37" t="str">
        <f t="shared" si="6"/>
        <v>C&gt;T</v>
      </c>
      <c r="G37">
        <v>7</v>
      </c>
      <c r="H37" t="str">
        <f t="shared" si="0"/>
        <v>chr9:132905488_132905571-132905572:C&gt;T</v>
      </c>
      <c r="I37" t="s">
        <v>163</v>
      </c>
      <c r="J37" t="s">
        <v>195</v>
      </c>
      <c r="K37" t="s">
        <v>254</v>
      </c>
      <c r="L37" t="s">
        <v>255</v>
      </c>
      <c r="M37" t="str">
        <f t="shared" si="1"/>
        <v>AGAGACAGGAGCCTTCGGTGTCCACAGCAAGGAGCTGAACAAGTAAGGGATTGGGGCACTCTCTTCTGTGTTAAATGGTCCATTTTATTGTGAAGTACAGAAAGTGTAAGAGAGGAACAAGAATCATTCTTCACAGGTAGGAGGATAGGCCAGG</v>
      </c>
      <c r="N37" t="str">
        <f t="shared" si="2"/>
        <v>CGGTG</v>
      </c>
      <c r="O37" t="str">
        <f t="shared" si="3"/>
        <v>CACAG</v>
      </c>
      <c r="P37">
        <f t="shared" si="4"/>
        <v>154</v>
      </c>
      <c r="Q37" t="str">
        <f t="shared" si="5"/>
        <v>AGAGACAGGAGCCTTCGGTGTCCACAGCAAGGAGCTGAACAA</v>
      </c>
    </row>
    <row r="38" spans="1:17" x14ac:dyDescent="0.25">
      <c r="A38" t="s">
        <v>111</v>
      </c>
      <c r="B38" t="s">
        <v>92</v>
      </c>
      <c r="C38" t="s">
        <v>27</v>
      </c>
      <c r="D38" t="s">
        <v>258</v>
      </c>
      <c r="E38" t="s">
        <v>285</v>
      </c>
      <c r="F38" t="str">
        <f t="shared" si="6"/>
        <v>G&gt;C</v>
      </c>
      <c r="G38">
        <v>7</v>
      </c>
      <c r="H38" t="str">
        <f t="shared" si="0"/>
        <v>chr9:132905488_132905575-132905576:G&gt;C</v>
      </c>
      <c r="I38" t="s">
        <v>153</v>
      </c>
      <c r="J38" t="s">
        <v>196</v>
      </c>
      <c r="K38" t="s">
        <v>256</v>
      </c>
      <c r="L38" t="s">
        <v>255</v>
      </c>
      <c r="M38" t="str">
        <f t="shared" si="1"/>
        <v>AGAGACAGGAGCCTTCGGTGTACACAGCAAGGAGCTGAACAAGTAACGGACTGGGGCACTCTCTTCTGTGTTAAATGGTCCATTTTATTGTGAAGTACAGAAAGTGTAAGAGAGGAACAAGAATCATTCTTCACAGGTAGGAGGATAGGCCAGG</v>
      </c>
      <c r="N38" t="str">
        <f t="shared" si="2"/>
        <v>CGGTG</v>
      </c>
      <c r="O38" t="str">
        <f t="shared" si="3"/>
        <v>CACAG</v>
      </c>
      <c r="P38">
        <f t="shared" si="4"/>
        <v>154</v>
      </c>
      <c r="Q38" t="str">
        <f t="shared" si="5"/>
        <v>AGAGACAGGAGCCTTCGGTGTACACAGCAAGGAGCTGAACAA</v>
      </c>
    </row>
    <row r="39" spans="1:17" x14ac:dyDescent="0.25">
      <c r="A39" t="s">
        <v>111</v>
      </c>
      <c r="B39" t="s">
        <v>92</v>
      </c>
      <c r="C39" t="s">
        <v>28</v>
      </c>
      <c r="D39" t="s">
        <v>258</v>
      </c>
      <c r="E39" t="s">
        <v>286</v>
      </c>
      <c r="F39" t="str">
        <f t="shared" si="6"/>
        <v>A&gt;G</v>
      </c>
      <c r="G39">
        <v>7</v>
      </c>
      <c r="H39" t="str">
        <f t="shared" si="0"/>
        <v>chr9:132905488_132905577-132905578:A&gt;G</v>
      </c>
      <c r="I39" t="s">
        <v>154</v>
      </c>
      <c r="J39" t="s">
        <v>197</v>
      </c>
      <c r="K39" t="s">
        <v>256</v>
      </c>
      <c r="L39" t="s">
        <v>255</v>
      </c>
      <c r="M39" t="str">
        <f t="shared" si="1"/>
        <v>AGAGACAGGAGCCTTCGGTGAGCACAGCAAGGAGCTGAACAAGTGAGGGACTGGGGCACTCTCTTCTGTGTTAAATGGTCCATTTTATTGTGAAGTACAGAAAGTGTAAGAGAGGAACAAGAATCATTCTTCACAGGTAGGAGGATAGGCCAGG</v>
      </c>
      <c r="N39" t="str">
        <f t="shared" si="2"/>
        <v>CGGTG</v>
      </c>
      <c r="O39" t="str">
        <f t="shared" si="3"/>
        <v>CACAG</v>
      </c>
      <c r="P39">
        <f t="shared" si="4"/>
        <v>154</v>
      </c>
      <c r="Q39" t="str">
        <f t="shared" si="5"/>
        <v>AGAGACAGGAGCCTTCGGTGAGCACAGCAAGGAGCTGAACAA</v>
      </c>
    </row>
    <row r="40" spans="1:17" x14ac:dyDescent="0.25">
      <c r="A40" t="s">
        <v>111</v>
      </c>
      <c r="B40" t="s">
        <v>92</v>
      </c>
      <c r="C40" t="s">
        <v>29</v>
      </c>
      <c r="D40" t="s">
        <v>258</v>
      </c>
      <c r="E40" t="s">
        <v>287</v>
      </c>
      <c r="F40" t="str">
        <f t="shared" si="6"/>
        <v>G&gt;C</v>
      </c>
      <c r="G40">
        <v>7</v>
      </c>
      <c r="H40" t="str">
        <f t="shared" si="0"/>
        <v>chr9:132905488_132905579-132905580:G&gt;C</v>
      </c>
      <c r="I40" t="s">
        <v>155</v>
      </c>
      <c r="J40" t="s">
        <v>198</v>
      </c>
      <c r="K40" t="s">
        <v>254</v>
      </c>
      <c r="L40" t="s">
        <v>255</v>
      </c>
      <c r="M40" t="str">
        <f t="shared" si="1"/>
        <v>AGAGACAGGAGCCTTCGGTGCACACAGCAAGGAGCTGAACAACTAAGGGACTGGGGCACTCTCTTCTGTGTTAAATGGTCCATTTTATTGTGAAGTACAGAAAGTGTAAGAGAGGAACAAGAATCATTCTTCACAGGTAGGAGGATAGGCCAGG</v>
      </c>
      <c r="N40" t="str">
        <f t="shared" si="2"/>
        <v>CGGTG</v>
      </c>
      <c r="O40" t="str">
        <f t="shared" si="3"/>
        <v>CACAG</v>
      </c>
      <c r="P40">
        <f t="shared" si="4"/>
        <v>154</v>
      </c>
      <c r="Q40" t="str">
        <f t="shared" si="5"/>
        <v>AGAGACAGGAGCCTTCGGTGCACACAGCAAGGAGCTGAACAA</v>
      </c>
    </row>
    <row r="41" spans="1:17" x14ac:dyDescent="0.25">
      <c r="A41" t="s">
        <v>111</v>
      </c>
      <c r="B41" t="s">
        <v>92</v>
      </c>
      <c r="C41" t="s">
        <v>30</v>
      </c>
      <c r="D41" t="s">
        <v>258</v>
      </c>
      <c r="E41" t="s">
        <v>287</v>
      </c>
      <c r="F41" t="str">
        <f t="shared" si="6"/>
        <v>G&gt;A</v>
      </c>
      <c r="G41">
        <v>7</v>
      </c>
      <c r="H41" t="str">
        <f t="shared" si="0"/>
        <v>chr9:132905488_132905579-132905580:G&gt;A</v>
      </c>
      <c r="I41" t="s">
        <v>156</v>
      </c>
      <c r="J41" t="s">
        <v>199</v>
      </c>
      <c r="K41" t="s">
        <v>256</v>
      </c>
      <c r="L41" t="s">
        <v>257</v>
      </c>
      <c r="M41" t="str">
        <f t="shared" si="1"/>
        <v>AGAGACAGGAGCCTTCGGTGATCACAGCAAGGAGCTGAACAAATAAGGGACTGGGGCACTCTCTTCTGTGTTAAATGGTCCATTTTATTGTGAAGTACAGAAAGTGTAAGAGAGGAACAAGAATCATTCTTCACAGGTAGGAGGATAGGCCAGG</v>
      </c>
      <c r="N41" t="str">
        <f t="shared" si="2"/>
        <v>CGGTG</v>
      </c>
      <c r="O41" t="str">
        <f t="shared" si="3"/>
        <v>CACAG</v>
      </c>
      <c r="P41">
        <f t="shared" si="4"/>
        <v>154</v>
      </c>
      <c r="Q41" t="str">
        <f t="shared" si="5"/>
        <v>AGAGACAGGAGCCTTCGGTGATCACAGCAAGGAGCTGAACAA</v>
      </c>
    </row>
    <row r="42" spans="1:17" x14ac:dyDescent="0.25">
      <c r="A42" t="s">
        <v>112</v>
      </c>
      <c r="F42" t="s">
        <v>148</v>
      </c>
      <c r="H42" t="str">
        <f t="shared" si="0"/>
        <v>chr9:132906638_:wt</v>
      </c>
      <c r="I42" t="s">
        <v>341</v>
      </c>
      <c r="J42" t="s">
        <v>137</v>
      </c>
      <c r="K42" t="s">
        <v>256</v>
      </c>
      <c r="L42" t="s">
        <v>257</v>
      </c>
      <c r="M42" t="str">
        <f t="shared" si="1"/>
        <v>AGAGACAGGAGCCTTCGGTGTGTGAAAAAGATAAAGAAGAAGGTAATGTATGTGGGATTGCTATGAGTTGATAAAACCTGACCCTCGCTCTGCTATAAATCTGGGATTTTGTGCCATTGCTCACAGGCTTGCTGAGGTAGGAGGATAGGCCAGG</v>
      </c>
      <c r="N42" t="str">
        <f t="shared" si="2"/>
        <v>CGGTG</v>
      </c>
      <c r="O42" t="str">
        <f t="shared" si="3"/>
        <v>TGAAA</v>
      </c>
      <c r="P42">
        <f t="shared" si="4"/>
        <v>154</v>
      </c>
      <c r="Q42" t="str">
        <f t="shared" si="5"/>
        <v>AGAGACAGGAGCCTTCGGTGTGTGAAAAAGATAAAGAAGAAG</v>
      </c>
    </row>
    <row r="43" spans="1:17" x14ac:dyDescent="0.25">
      <c r="A43" t="s">
        <v>112</v>
      </c>
      <c r="B43" t="s">
        <v>93</v>
      </c>
      <c r="C43" t="s">
        <v>31</v>
      </c>
      <c r="D43" t="s">
        <v>258</v>
      </c>
      <c r="E43" t="s">
        <v>288</v>
      </c>
      <c r="F43" t="str">
        <f>RIGHT(C43,3)</f>
        <v>G&gt;A</v>
      </c>
      <c r="G43">
        <v>2</v>
      </c>
      <c r="H43" t="str">
        <f t="shared" si="0"/>
        <v>chr9:132906638_132906724-132906725:G&gt;A</v>
      </c>
      <c r="I43" t="s">
        <v>157</v>
      </c>
      <c r="J43" t="s">
        <v>200</v>
      </c>
      <c r="K43" t="s">
        <v>256</v>
      </c>
      <c r="L43" t="s">
        <v>257</v>
      </c>
      <c r="M43" t="str">
        <f t="shared" si="1"/>
        <v>AGAGACAGGAGCCTTCGGTGCTTGAAAAAGATAAAGAAGAAGGTAATATATGTGGGATTGCTATGAGTTGATAAAACCTGACCCTCGCTCTGCTATAAATCTGGGATTTTGTGCCATTGCTCACAGGCTTGCTGAGGTAGGAGGATAGGCCAGG</v>
      </c>
      <c r="N43" t="str">
        <f t="shared" si="2"/>
        <v>CGGTG</v>
      </c>
      <c r="O43" t="str">
        <f t="shared" si="3"/>
        <v>TGAAA</v>
      </c>
      <c r="P43">
        <f t="shared" si="4"/>
        <v>154</v>
      </c>
      <c r="Q43" t="str">
        <f t="shared" si="5"/>
        <v>AGAGACAGGAGCCTTCGGTGCTTGAAAAAGATAAAGAAGAAG</v>
      </c>
    </row>
    <row r="44" spans="1:17" x14ac:dyDescent="0.25">
      <c r="A44" t="s">
        <v>112</v>
      </c>
      <c r="B44" t="s">
        <v>93</v>
      </c>
      <c r="C44" t="s">
        <v>32</v>
      </c>
      <c r="D44" t="s">
        <v>258</v>
      </c>
      <c r="E44" t="s">
        <v>289</v>
      </c>
      <c r="F44" t="str">
        <f>RIGHT(C44,3)</f>
        <v>T&gt;C</v>
      </c>
      <c r="G44">
        <v>2</v>
      </c>
      <c r="H44" t="str">
        <f t="shared" si="0"/>
        <v>chr9:132906638_132906725-132906726:T&gt;C</v>
      </c>
      <c r="I44" t="s">
        <v>158</v>
      </c>
      <c r="J44" t="s">
        <v>201</v>
      </c>
      <c r="K44" t="s">
        <v>256</v>
      </c>
      <c r="L44" t="s">
        <v>255</v>
      </c>
      <c r="M44" t="str">
        <f t="shared" si="1"/>
        <v>AGAGACAGGAGCCTTCGGTGGCTGAAAAAGATAAAGAAGAAGGTAACGTATGTGGGATTGCTATGAGTTGATAAAACCTGACCCTCGCTCTGCTATAAATCTGGGATTTTGTGCCATTGCTCACAGGCTTGCTGAGGTAGGAGGATAGGCCAGG</v>
      </c>
      <c r="N44" t="str">
        <f t="shared" si="2"/>
        <v>CGGTG</v>
      </c>
      <c r="O44" t="str">
        <f t="shared" si="3"/>
        <v>TGAAA</v>
      </c>
      <c r="P44">
        <f t="shared" si="4"/>
        <v>154</v>
      </c>
      <c r="Q44" t="str">
        <f t="shared" si="5"/>
        <v>AGAGACAGGAGCCTTCGGTGGCTGAAAAAGATAAAGAAGAAG</v>
      </c>
    </row>
    <row r="45" spans="1:17" x14ac:dyDescent="0.25">
      <c r="A45" t="s">
        <v>113</v>
      </c>
      <c r="F45" t="s">
        <v>148</v>
      </c>
      <c r="H45" t="str">
        <f t="shared" si="0"/>
        <v>chr9:132907208_:wt</v>
      </c>
      <c r="I45" t="s">
        <v>159</v>
      </c>
      <c r="J45" t="s">
        <v>138</v>
      </c>
      <c r="K45" t="s">
        <v>256</v>
      </c>
      <c r="L45" t="s">
        <v>255</v>
      </c>
      <c r="M45" t="str">
        <f t="shared" si="1"/>
        <v>AGAGACAGGAGCCTTCGGTGACTCTGAATGACAGAGGATCAGGTAAAATTTCTGCGTTACTACAGGCCTTGCTTGCCTCTTCTAATTGGGTTATATGTGTTTAAGAAAAGAAAGTTAAATGGAAACAAGGAAATAGGTAGGAGGATAGGCCAGG</v>
      </c>
      <c r="N45" t="str">
        <f t="shared" si="2"/>
        <v>CGGTG</v>
      </c>
      <c r="O45" t="str">
        <f t="shared" si="3"/>
        <v>TCTGA</v>
      </c>
      <c r="P45">
        <f t="shared" si="4"/>
        <v>154</v>
      </c>
      <c r="Q45" t="str">
        <f t="shared" si="5"/>
        <v>AGAGACAGGAGCCTTCGGTGACTCTGAATGACAGAGGATCAG</v>
      </c>
    </row>
    <row r="46" spans="1:17" x14ac:dyDescent="0.25">
      <c r="A46" t="s">
        <v>113</v>
      </c>
      <c r="B46" t="s">
        <v>94</v>
      </c>
      <c r="C46" t="s">
        <v>33</v>
      </c>
      <c r="D46" t="s">
        <v>258</v>
      </c>
      <c r="E46" t="s">
        <v>290</v>
      </c>
      <c r="F46" t="str">
        <f t="shared" ref="F46:F51" si="7">RIGHT(C46,3)</f>
        <v>G&gt;A</v>
      </c>
      <c r="G46">
        <v>6</v>
      </c>
      <c r="H46" t="str">
        <f t="shared" si="0"/>
        <v>chr9:132907208_132907286-132907287:G&gt;A</v>
      </c>
      <c r="I46" t="s">
        <v>160</v>
      </c>
      <c r="J46" t="s">
        <v>202</v>
      </c>
      <c r="K46" t="s">
        <v>256</v>
      </c>
      <c r="L46" t="s">
        <v>255</v>
      </c>
      <c r="M46" t="str">
        <f t="shared" si="1"/>
        <v>AGAGACAGGAGCCTTCGGTGCGTCTGAATGACAGAGGATCAGGTAAAATTTCTGCATTACTACAGGCCTTGCTTGCCTCTTCTAATTGGGTTATATGTGTTTAAGAAAAGAAAGTTAAATGGAAACAAGGAAATAGGTAGGAGGATAGGCCAGG</v>
      </c>
      <c r="N46" t="str">
        <f t="shared" si="2"/>
        <v>CGGTG</v>
      </c>
      <c r="O46" t="str">
        <f t="shared" si="3"/>
        <v>TCTGA</v>
      </c>
      <c r="P46">
        <f t="shared" si="4"/>
        <v>154</v>
      </c>
      <c r="Q46" t="str">
        <f t="shared" si="5"/>
        <v>AGAGACAGGAGCCTTCGGTGCGTCTGAATGACAGAGGATCAG</v>
      </c>
    </row>
    <row r="47" spans="1:17" x14ac:dyDescent="0.25">
      <c r="A47" t="s">
        <v>113</v>
      </c>
      <c r="B47" t="s">
        <v>94</v>
      </c>
      <c r="C47" t="s">
        <v>34</v>
      </c>
      <c r="D47" t="s">
        <v>258</v>
      </c>
      <c r="E47" t="s">
        <v>291</v>
      </c>
      <c r="F47" t="str">
        <f t="shared" si="7"/>
        <v>C&gt;T</v>
      </c>
      <c r="G47">
        <v>6</v>
      </c>
      <c r="H47" t="str">
        <f t="shared" si="0"/>
        <v>chr9:132907208_132907287-132907288:C&gt;T</v>
      </c>
      <c r="I47" t="s">
        <v>161</v>
      </c>
      <c r="J47" t="s">
        <v>203</v>
      </c>
      <c r="K47" t="s">
        <v>254</v>
      </c>
      <c r="L47" t="s">
        <v>255</v>
      </c>
      <c r="M47" t="str">
        <f t="shared" si="1"/>
        <v>AGAGACAGGAGCCTTCGGTGGTTCTGAATGACAGAGGATCAGGTAAAATTTCTGTGTTACTACAGGCCTTGCTTGCCTCTTCTAATTGGGTTATATGTGTTTAAGAAAAGAAAGTTAAATGGAAACAAGGAAATAGGTAGGAGGATAGGCCAGG</v>
      </c>
      <c r="N47" t="str">
        <f t="shared" si="2"/>
        <v>CGGTG</v>
      </c>
      <c r="O47" t="str">
        <f t="shared" si="3"/>
        <v>TCTGA</v>
      </c>
      <c r="P47">
        <f t="shared" si="4"/>
        <v>154</v>
      </c>
      <c r="Q47" t="str">
        <f t="shared" si="5"/>
        <v>AGAGACAGGAGCCTTCGGTGGTTCTGAATGACAGAGGATCAG</v>
      </c>
    </row>
    <row r="48" spans="1:17" x14ac:dyDescent="0.25">
      <c r="A48" t="s">
        <v>113</v>
      </c>
      <c r="B48" t="s">
        <v>94</v>
      </c>
      <c r="C48" t="s">
        <v>35</v>
      </c>
      <c r="D48" t="s">
        <v>258</v>
      </c>
      <c r="E48" t="s">
        <v>292</v>
      </c>
      <c r="F48" t="str">
        <f t="shared" si="7"/>
        <v>T&gt;A</v>
      </c>
      <c r="G48">
        <v>6</v>
      </c>
      <c r="H48" t="str">
        <f t="shared" si="0"/>
        <v>chr9:132907208_132907291-132907292:T&gt;A</v>
      </c>
      <c r="I48" t="s">
        <v>162</v>
      </c>
      <c r="J48" t="s">
        <v>204</v>
      </c>
      <c r="K48" t="s">
        <v>256</v>
      </c>
      <c r="L48" t="s">
        <v>255</v>
      </c>
      <c r="M48" t="str">
        <f t="shared" si="1"/>
        <v>AGAGACAGGAGCCTTCGGTGGATCTGAATGACAGAGGATCAGGTAAAATTACTGCGTTACTACAGGCCTTGCTTGCCTCTTCTAATTGGGTTATATGTGTTTAAGAAAAGAAAGTTAAATGGAAACAAGGAAATAGGTAGGAGGATAGGCCAGG</v>
      </c>
      <c r="N48" t="str">
        <f t="shared" si="2"/>
        <v>CGGTG</v>
      </c>
      <c r="O48" t="str">
        <f t="shared" si="3"/>
        <v>TCTGA</v>
      </c>
      <c r="P48">
        <f t="shared" si="4"/>
        <v>154</v>
      </c>
      <c r="Q48" t="str">
        <f t="shared" si="5"/>
        <v>AGAGACAGGAGCCTTCGGTGGATCTGAATGACAGAGGATCAG</v>
      </c>
    </row>
    <row r="49" spans="1:17" x14ac:dyDescent="0.25">
      <c r="A49" t="s">
        <v>113</v>
      </c>
      <c r="B49" t="s">
        <v>94</v>
      </c>
      <c r="C49" t="s">
        <v>36</v>
      </c>
      <c r="D49" t="s">
        <v>258</v>
      </c>
      <c r="E49" t="s">
        <v>293</v>
      </c>
      <c r="F49" t="str">
        <f t="shared" si="7"/>
        <v>A&gt;-</v>
      </c>
      <c r="G49">
        <v>6</v>
      </c>
      <c r="H49" t="str">
        <f t="shared" si="0"/>
        <v>chr9:132907208_132907294-132907295:A&gt;-</v>
      </c>
      <c r="I49" t="s">
        <v>163</v>
      </c>
      <c r="J49" t="s">
        <v>205</v>
      </c>
      <c r="K49" t="s">
        <v>256</v>
      </c>
      <c r="L49" t="s">
        <v>257</v>
      </c>
      <c r="M49" t="str">
        <f t="shared" si="1"/>
        <v>AGAGACAGGAGCCTTCGGTGTCTCTGAATGACAGAGGATCAGGTAAATTTCTGCGTTACTACAGGCCTTGCTTGCCTCTTCTAATTGGGTTATATGTGTTTAAGAAAAGAAAGTTAAATGGAAACAAGGAAATAGGTAGGAGGATAGGCCAGG</v>
      </c>
      <c r="N49" t="str">
        <f t="shared" si="2"/>
        <v>CGGTG</v>
      </c>
      <c r="O49" t="str">
        <f t="shared" si="3"/>
        <v>TCTGA</v>
      </c>
      <c r="P49">
        <f t="shared" si="4"/>
        <v>153</v>
      </c>
      <c r="Q49" t="str">
        <f t="shared" si="5"/>
        <v>AGAGACAGGAGCCTTCGGTGTCTCTGAATGACAGAGGATCAG</v>
      </c>
    </row>
    <row r="50" spans="1:17" x14ac:dyDescent="0.25">
      <c r="A50" t="s">
        <v>113</v>
      </c>
      <c r="B50" t="s">
        <v>94</v>
      </c>
      <c r="C50" t="s">
        <v>37</v>
      </c>
      <c r="D50" t="s">
        <v>258</v>
      </c>
      <c r="E50" t="s">
        <v>294</v>
      </c>
      <c r="F50" t="str">
        <f t="shared" si="7"/>
        <v>A&gt;G</v>
      </c>
      <c r="G50">
        <v>6</v>
      </c>
      <c r="H50" t="str">
        <f t="shared" si="0"/>
        <v>chr9:132907208_132907295-132907296:A&gt;G</v>
      </c>
      <c r="I50" t="s">
        <v>153</v>
      </c>
      <c r="J50" t="s">
        <v>206</v>
      </c>
      <c r="K50" t="s">
        <v>256</v>
      </c>
      <c r="L50" t="s">
        <v>255</v>
      </c>
      <c r="M50" t="str">
        <f t="shared" si="1"/>
        <v>AGAGACAGGAGCCTTCGGTGTATCTGAATGACAGAGGATCAGGTAAGATTTCTGCGTTACTACAGGCCTTGCTTGCCTCTTCTAATTGGGTTATATGTGTTTAAGAAAAGAAAGTTAAATGGAAACAAGGAAATAGGTAGGAGGATAGGCCAGG</v>
      </c>
      <c r="N50" t="str">
        <f t="shared" si="2"/>
        <v>CGGTG</v>
      </c>
      <c r="O50" t="str">
        <f t="shared" si="3"/>
        <v>TCTGA</v>
      </c>
      <c r="P50">
        <f t="shared" si="4"/>
        <v>154</v>
      </c>
      <c r="Q50" t="str">
        <f t="shared" si="5"/>
        <v>AGAGACAGGAGCCTTCGGTGTATCTGAATGACAGAGGATCAG</v>
      </c>
    </row>
    <row r="51" spans="1:17" x14ac:dyDescent="0.25">
      <c r="A51" t="s">
        <v>113</v>
      </c>
      <c r="B51" t="s">
        <v>94</v>
      </c>
      <c r="C51" t="s">
        <v>38</v>
      </c>
      <c r="D51" t="s">
        <v>258</v>
      </c>
      <c r="E51" t="s">
        <v>295</v>
      </c>
      <c r="F51" t="str">
        <f t="shared" si="7"/>
        <v>-&gt;G</v>
      </c>
      <c r="G51">
        <v>6</v>
      </c>
      <c r="H51" t="str">
        <f t="shared" si="0"/>
        <v>chr9:132907208_132907299-132907299:-&gt;G</v>
      </c>
      <c r="I51" t="s">
        <v>154</v>
      </c>
      <c r="J51" t="s">
        <v>207</v>
      </c>
      <c r="K51" t="s">
        <v>254</v>
      </c>
      <c r="L51" t="s">
        <v>255</v>
      </c>
      <c r="M51" t="str">
        <f t="shared" si="1"/>
        <v>AGAGACAGGAGCCTTCGGTGAGTCTGAATGACAGAGGATCAGGGTAAAATTTCTGCGTTACTACAGGCCTTGCTTGCCTCTTCTAATTGGGTTATATGTGTTTAAGAAAAGAAAGTTAAATGGAAACAAGGAAATAGGTAGGAGGATAGGCCAGG</v>
      </c>
      <c r="N51" t="str">
        <f t="shared" si="2"/>
        <v>CGGTG</v>
      </c>
      <c r="O51" t="str">
        <f t="shared" si="3"/>
        <v>TCTGA</v>
      </c>
      <c r="P51">
        <f t="shared" si="4"/>
        <v>155</v>
      </c>
      <c r="Q51" t="str">
        <f t="shared" si="5"/>
        <v>AGAGACAGGAGCCTTCGGTGAGTCTGAATGACAGAGGATCAG</v>
      </c>
    </row>
    <row r="52" spans="1:17" x14ac:dyDescent="0.25">
      <c r="A52" t="s">
        <v>114</v>
      </c>
      <c r="F52" t="s">
        <v>148</v>
      </c>
      <c r="H52" t="str">
        <f t="shared" si="0"/>
        <v>chr9:132910909_:wt</v>
      </c>
      <c r="I52" t="s">
        <v>155</v>
      </c>
      <c r="J52" t="s">
        <v>139</v>
      </c>
      <c r="K52" t="s">
        <v>256</v>
      </c>
      <c r="L52" t="s">
        <v>257</v>
      </c>
      <c r="M52" t="str">
        <f t="shared" si="1"/>
        <v>AGAGACAGGAGCCTTCGGTGCATAAAGTCTTTGGTACAACTGGTATGTATGTCTTAGGTTGGATTTGATTAGTTGGTTTTGGCCTGCCTTTAATGGCAGGAGGAGCTCTCTTTTAGATCTAAGGGACCACTTGCAGGTAGGAGGATAGGCCAGG</v>
      </c>
      <c r="N52" t="str">
        <f t="shared" si="2"/>
        <v>CGGTG</v>
      </c>
      <c r="O52" t="str">
        <f t="shared" si="3"/>
        <v>TAAAG</v>
      </c>
      <c r="P52">
        <f t="shared" si="4"/>
        <v>154</v>
      </c>
      <c r="Q52" t="str">
        <f t="shared" si="5"/>
        <v>AGAGACAGGAGCCTTCGGTGCATAAAGTCTTTGGTACAACTG</v>
      </c>
    </row>
    <row r="53" spans="1:17" x14ac:dyDescent="0.25">
      <c r="A53" t="s">
        <v>114</v>
      </c>
      <c r="B53" t="s">
        <v>95</v>
      </c>
      <c r="C53" t="s">
        <v>39</v>
      </c>
      <c r="D53" t="s">
        <v>258</v>
      </c>
      <c r="E53" t="s">
        <v>296</v>
      </c>
      <c r="F53" t="str">
        <f>RIGHT(C53,3)</f>
        <v>T&gt;C</v>
      </c>
      <c r="G53">
        <v>2</v>
      </c>
      <c r="H53" t="str">
        <f t="shared" si="0"/>
        <v>chr9:132910909_132910991-132910992:T&gt;C</v>
      </c>
      <c r="I53" t="s">
        <v>156</v>
      </c>
      <c r="J53" t="s">
        <v>208</v>
      </c>
      <c r="K53" t="s">
        <v>254</v>
      </c>
      <c r="L53" t="s">
        <v>255</v>
      </c>
      <c r="M53" t="str">
        <f t="shared" si="1"/>
        <v>AGAGACAGGAGCCTTCGGTGATTAAAGTCTTTGGTACAACTGGTATGTATGCCTTAGGTTGGATTTGATTAGTTGGTTTTGGCCTGCCTTTAATGGCAGGAGGAGCTCTCTTTTAGATCTAAGGGACCACTTGCAGGTAGGAGGATAGGCCAGG</v>
      </c>
      <c r="N53" t="str">
        <f t="shared" si="2"/>
        <v>CGGTG</v>
      </c>
      <c r="O53" t="str">
        <f t="shared" si="3"/>
        <v>TAAAG</v>
      </c>
      <c r="P53">
        <f t="shared" si="4"/>
        <v>154</v>
      </c>
      <c r="Q53" t="str">
        <f t="shared" si="5"/>
        <v>AGAGACAGGAGCCTTCGGTGATTAAAGTCTTTGGTACAACTG</v>
      </c>
    </row>
    <row r="54" spans="1:17" x14ac:dyDescent="0.25">
      <c r="A54" t="s">
        <v>114</v>
      </c>
      <c r="B54" t="s">
        <v>95</v>
      </c>
      <c r="C54" t="s">
        <v>40</v>
      </c>
      <c r="D54" t="s">
        <v>258</v>
      </c>
      <c r="E54" t="s">
        <v>297</v>
      </c>
      <c r="F54" t="str">
        <f>RIGHT(C54,3)</f>
        <v>G&gt;T</v>
      </c>
      <c r="G54">
        <v>2</v>
      </c>
      <c r="H54" t="str">
        <f t="shared" si="0"/>
        <v>chr9:132910909_132911000-132911001:G&gt;T</v>
      </c>
      <c r="I54" t="s">
        <v>338</v>
      </c>
      <c r="J54" t="s">
        <v>209</v>
      </c>
      <c r="K54" t="s">
        <v>254</v>
      </c>
      <c r="L54" t="s">
        <v>257</v>
      </c>
      <c r="M54" t="str">
        <f t="shared" si="1"/>
        <v>AGAGACAGGAGCCTTCGGTGTGTAAAGTCTTTGGTACAACTGTTATGTATGTCTTAGGTTGGATTTGATTAGTTGGTTTTGGCCTGCCTTTAATGGCAGGAGGAGCTCTCTTTTAGATCTAAGGGACCACTTGCAGGTAGGAGGATAGGCCAGG</v>
      </c>
      <c r="N54" t="str">
        <f t="shared" si="2"/>
        <v>CGGTG</v>
      </c>
      <c r="O54" t="str">
        <f t="shared" si="3"/>
        <v>TAAAG</v>
      </c>
      <c r="P54">
        <f t="shared" si="4"/>
        <v>154</v>
      </c>
      <c r="Q54" t="str">
        <f t="shared" si="5"/>
        <v>AGAGACAGGAGCCTTCGGTGTGTAAAGTCTTTGGTACAACTG</v>
      </c>
    </row>
    <row r="55" spans="1:17" x14ac:dyDescent="0.25">
      <c r="A55" t="s">
        <v>115</v>
      </c>
      <c r="F55" t="s">
        <v>148</v>
      </c>
      <c r="H55" t="str">
        <f t="shared" si="0"/>
        <v>chr9:132912189_:wt</v>
      </c>
      <c r="I55" t="s">
        <v>157</v>
      </c>
      <c r="J55" t="s">
        <v>140</v>
      </c>
      <c r="K55" t="s">
        <v>254</v>
      </c>
      <c r="L55" t="s">
        <v>257</v>
      </c>
      <c r="M55" t="str">
        <f t="shared" si="1"/>
        <v>AGAGACAGGAGCCTTCGGTGCTTGACACACAGAATAGCTATGGTAAAAAGTGTCTTTGGTACTTATCTGTTTTGCAACTTTGTCTCTGGAAAACATTATTTGTCTTTGTTGATTTTCTTTTCTGGAGTAAGACTAGGTAGGAGGATAGGCCAGG</v>
      </c>
      <c r="N55" t="str">
        <f t="shared" si="2"/>
        <v>CGGTG</v>
      </c>
      <c r="O55" t="str">
        <f t="shared" si="3"/>
        <v>TGACA</v>
      </c>
      <c r="P55">
        <f t="shared" si="4"/>
        <v>154</v>
      </c>
      <c r="Q55" t="str">
        <f t="shared" si="5"/>
        <v>AGAGACAGGAGCCTTCGGTGCTTGACACACAGAATAGCTATG</v>
      </c>
    </row>
    <row r="56" spans="1:17" x14ac:dyDescent="0.25">
      <c r="A56" t="s">
        <v>115</v>
      </c>
      <c r="B56" t="s">
        <v>96</v>
      </c>
      <c r="C56" t="s">
        <v>41</v>
      </c>
      <c r="D56" t="s">
        <v>258</v>
      </c>
      <c r="E56" t="s">
        <v>298</v>
      </c>
      <c r="F56" t="str">
        <f t="shared" ref="F56:F62" si="8">RIGHT(C56,3)</f>
        <v>G&gt;C</v>
      </c>
      <c r="G56">
        <v>7</v>
      </c>
      <c r="H56" t="str">
        <f t="shared" si="0"/>
        <v>chr9:132912189_132912273-132912274:G&gt;C</v>
      </c>
      <c r="I56" t="s">
        <v>158</v>
      </c>
      <c r="J56" t="s">
        <v>210</v>
      </c>
      <c r="K56" t="s">
        <v>254</v>
      </c>
      <c r="L56" t="s">
        <v>255</v>
      </c>
      <c r="M56" t="str">
        <f t="shared" si="1"/>
        <v>AGAGACAGGAGCCTTCGGTGGCTGACACACAGAATAGCTATGGTAAAAACTGTCTTTGGTACTTATCTGTTTTGCAACTTTGTCTCTGGAAAACATTATTTGTCTTTGTTGATTTTCTTTTCTGGAGTAAGACTAGGTAGGAGGATAGGCCAGG</v>
      </c>
      <c r="N56" t="str">
        <f t="shared" si="2"/>
        <v>CGGTG</v>
      </c>
      <c r="O56" t="str">
        <f t="shared" si="3"/>
        <v>TGACA</v>
      </c>
      <c r="P56">
        <f t="shared" si="4"/>
        <v>154</v>
      </c>
      <c r="Q56" t="str">
        <f t="shared" si="5"/>
        <v>AGAGACAGGAGCCTTCGGTGGCTGACACACAGAATAGCTATG</v>
      </c>
    </row>
    <row r="57" spans="1:17" x14ac:dyDescent="0.25">
      <c r="A57" t="s">
        <v>115</v>
      </c>
      <c r="B57" t="s">
        <v>96</v>
      </c>
      <c r="C57" t="s">
        <v>42</v>
      </c>
      <c r="D57" t="s">
        <v>258</v>
      </c>
      <c r="E57" t="s">
        <v>299</v>
      </c>
      <c r="F57" t="str">
        <f t="shared" si="8"/>
        <v>A&gt;C</v>
      </c>
      <c r="G57">
        <v>7</v>
      </c>
      <c r="H57" t="str">
        <f t="shared" si="0"/>
        <v>chr9:132912189_132912277-132912278:A&gt;C</v>
      </c>
      <c r="I57" t="s">
        <v>159</v>
      </c>
      <c r="J57" t="s">
        <v>211</v>
      </c>
      <c r="K57" t="s">
        <v>256</v>
      </c>
      <c r="L57" t="s">
        <v>257</v>
      </c>
      <c r="M57" t="str">
        <f t="shared" si="1"/>
        <v>AGAGACAGGAGCCTTCGGTGACTGACACACAGAATAGCTATGGTACAAAGTGTCTTTGGTACTTATCTGTTTTGCAACTTTGTCTCTGGAAAACATTATTTGTCTTTGTTGATTTTCTTTTCTGGAGTAAGACTAGGTAGGAGGATAGGCCAGG</v>
      </c>
      <c r="N57" t="str">
        <f t="shared" si="2"/>
        <v>CGGTG</v>
      </c>
      <c r="O57" t="str">
        <f t="shared" si="3"/>
        <v>TGACA</v>
      </c>
      <c r="P57">
        <f t="shared" si="4"/>
        <v>154</v>
      </c>
      <c r="Q57" t="str">
        <f t="shared" si="5"/>
        <v>AGAGACAGGAGCCTTCGGTGACTGACACACAGAATAGCTATG</v>
      </c>
    </row>
    <row r="58" spans="1:17" x14ac:dyDescent="0.25">
      <c r="A58" t="s">
        <v>115</v>
      </c>
      <c r="B58" t="s">
        <v>96</v>
      </c>
      <c r="C58" t="s">
        <v>43</v>
      </c>
      <c r="D58" t="s">
        <v>258</v>
      </c>
      <c r="E58" t="s">
        <v>300</v>
      </c>
      <c r="F58" t="str">
        <f t="shared" si="8"/>
        <v>A&gt;T</v>
      </c>
      <c r="G58">
        <v>7</v>
      </c>
      <c r="H58" t="str">
        <f t="shared" si="0"/>
        <v>chr9:132912189_132912278-132912279:A&gt;T</v>
      </c>
      <c r="I58" t="s">
        <v>160</v>
      </c>
      <c r="J58" t="s">
        <v>212</v>
      </c>
      <c r="K58" t="s">
        <v>254</v>
      </c>
      <c r="L58" t="s">
        <v>255</v>
      </c>
      <c r="M58" t="str">
        <f t="shared" si="1"/>
        <v>AGAGACAGGAGCCTTCGGTGCGTGACACACAGAATAGCTATGGTTAAAAGTGTCTTTGGTACTTATCTGTTTTGCAACTTTGTCTCTGGAAAACATTATTTGTCTTTGTTGATTTTCTTTTCTGGAGTAAGACTAGGTAGGAGGATAGGCCAGG</v>
      </c>
      <c r="N58" t="str">
        <f t="shared" si="2"/>
        <v>CGGTG</v>
      </c>
      <c r="O58" t="str">
        <f t="shared" si="3"/>
        <v>TGACA</v>
      </c>
      <c r="P58">
        <f t="shared" si="4"/>
        <v>154</v>
      </c>
      <c r="Q58" t="str">
        <f t="shared" si="5"/>
        <v>AGAGACAGGAGCCTTCGGTGCGTGACACACAGAATAGCTATG</v>
      </c>
    </row>
    <row r="59" spans="1:17" x14ac:dyDescent="0.25">
      <c r="A59" t="s">
        <v>115</v>
      </c>
      <c r="B59" t="s">
        <v>96</v>
      </c>
      <c r="C59" t="s">
        <v>44</v>
      </c>
      <c r="D59" t="s">
        <v>258</v>
      </c>
      <c r="E59" t="s">
        <v>301</v>
      </c>
      <c r="F59" t="str">
        <f t="shared" si="8"/>
        <v>T&gt;C</v>
      </c>
      <c r="G59">
        <v>7</v>
      </c>
      <c r="H59" t="str">
        <f t="shared" si="0"/>
        <v>chr9:132912189_132912279-132912280:T&gt;C</v>
      </c>
      <c r="I59" t="s">
        <v>161</v>
      </c>
      <c r="J59" t="s">
        <v>213</v>
      </c>
      <c r="K59" t="s">
        <v>254</v>
      </c>
      <c r="L59" t="s">
        <v>255</v>
      </c>
      <c r="M59" t="str">
        <f t="shared" si="1"/>
        <v>AGAGACAGGAGCCTTCGGTGGTTGACACACAGAATAGCTATGGCAAAAAGTGTCTTTGGTACTTATCTGTTTTGCAACTTTGTCTCTGGAAAACATTATTTGTCTTTGTTGATTTTCTTTTCTGGAGTAAGACTAGGTAGGAGGATAGGCCAGG</v>
      </c>
      <c r="N59" t="str">
        <f t="shared" si="2"/>
        <v>CGGTG</v>
      </c>
      <c r="O59" t="str">
        <f t="shared" si="3"/>
        <v>TGACA</v>
      </c>
      <c r="P59">
        <f t="shared" si="4"/>
        <v>154</v>
      </c>
      <c r="Q59" t="str">
        <f t="shared" si="5"/>
        <v>AGAGACAGGAGCCTTCGGTGGTTGACACACAGAATAGCTATG</v>
      </c>
    </row>
    <row r="60" spans="1:17" x14ac:dyDescent="0.25">
      <c r="A60" t="s">
        <v>115</v>
      </c>
      <c r="B60" t="s">
        <v>96</v>
      </c>
      <c r="C60" t="s">
        <v>45</v>
      </c>
      <c r="D60" t="s">
        <v>258</v>
      </c>
      <c r="E60" t="s">
        <v>302</v>
      </c>
      <c r="F60" t="str">
        <f t="shared" si="8"/>
        <v>-&gt;T</v>
      </c>
      <c r="G60">
        <v>7</v>
      </c>
      <c r="H60" t="str">
        <f t="shared" si="0"/>
        <v>chr9:132912189_132912279-132912279:-&gt;T</v>
      </c>
      <c r="I60" t="s">
        <v>162</v>
      </c>
      <c r="J60" t="s">
        <v>214</v>
      </c>
      <c r="K60" t="s">
        <v>256</v>
      </c>
      <c r="L60" t="s">
        <v>255</v>
      </c>
      <c r="M60" t="str">
        <f t="shared" si="1"/>
        <v>AGAGACAGGAGCCTTCGGTGGATGACACACAGAATAGCTATGGTTAAAAAGTGTCTTTGGTACTTATCTGTTTTGCAACTTTGTCTCTGGAAAACATTATTTGTCTTTGTTGATTTTCTTTTCTGGAGTAAGACTAGGTAGGAGGATAGGCCAGG</v>
      </c>
      <c r="N60" t="str">
        <f t="shared" si="2"/>
        <v>CGGTG</v>
      </c>
      <c r="O60" t="str">
        <f t="shared" si="3"/>
        <v>TGACA</v>
      </c>
      <c r="P60">
        <f t="shared" si="4"/>
        <v>155</v>
      </c>
      <c r="Q60" t="str">
        <f t="shared" si="5"/>
        <v>AGAGACAGGAGCCTTCGGTGGATGACACACAGAATAGCTATG</v>
      </c>
    </row>
    <row r="61" spans="1:17" x14ac:dyDescent="0.25">
      <c r="A61" t="s">
        <v>115</v>
      </c>
      <c r="B61" t="s">
        <v>96</v>
      </c>
      <c r="C61" t="s">
        <v>46</v>
      </c>
      <c r="D61" t="s">
        <v>258</v>
      </c>
      <c r="E61" t="s">
        <v>303</v>
      </c>
      <c r="F61" t="str">
        <f t="shared" si="8"/>
        <v>G&gt;A</v>
      </c>
      <c r="G61">
        <v>7</v>
      </c>
      <c r="H61" t="str">
        <f t="shared" si="0"/>
        <v>chr9:132912189_132912280-132912281:G&gt;A</v>
      </c>
      <c r="I61" t="s">
        <v>163</v>
      </c>
      <c r="J61" t="s">
        <v>215</v>
      </c>
      <c r="K61" t="s">
        <v>256</v>
      </c>
      <c r="L61" t="s">
        <v>257</v>
      </c>
      <c r="M61" t="str">
        <f t="shared" si="1"/>
        <v>AGAGACAGGAGCCTTCGGTGTCTGACACACAGAATAGCTATGATAAAAAGTGTCTTTGGTACTTATCTGTTTTGCAACTTTGTCTCTGGAAAACATTATTTGTCTTTGTTGATTTTCTTTTCTGGAGTAAGACTAGGTAGGAGGATAGGCCAGG</v>
      </c>
      <c r="N61" t="str">
        <f t="shared" si="2"/>
        <v>CGGTG</v>
      </c>
      <c r="O61" t="str">
        <f t="shared" si="3"/>
        <v>TGACA</v>
      </c>
      <c r="P61">
        <f t="shared" si="4"/>
        <v>154</v>
      </c>
      <c r="Q61" t="str">
        <f t="shared" si="5"/>
        <v>AGAGACAGGAGCCTTCGGTGTCTGACACACAGAATAGCTATG</v>
      </c>
    </row>
    <row r="62" spans="1:17" x14ac:dyDescent="0.25">
      <c r="A62" t="s">
        <v>115</v>
      </c>
      <c r="B62" t="s">
        <v>96</v>
      </c>
      <c r="C62" t="s">
        <v>47</v>
      </c>
      <c r="D62" t="s">
        <v>258</v>
      </c>
      <c r="E62" t="s">
        <v>303</v>
      </c>
      <c r="F62" t="str">
        <f t="shared" si="8"/>
        <v>G&gt;T</v>
      </c>
      <c r="G62">
        <v>7</v>
      </c>
      <c r="H62" t="str">
        <f t="shared" si="0"/>
        <v>chr9:132912189_132912280-132912281:G&gt;T</v>
      </c>
      <c r="I62" t="s">
        <v>153</v>
      </c>
      <c r="J62" t="s">
        <v>216</v>
      </c>
      <c r="K62" t="s">
        <v>254</v>
      </c>
      <c r="L62" t="s">
        <v>257</v>
      </c>
      <c r="M62" t="str">
        <f t="shared" si="1"/>
        <v>AGAGACAGGAGCCTTCGGTGTATGACACACAGAATAGCTATGTTAAAAAGTGTCTTTGGTACTTATCTGTTTTGCAACTTTGTCTCTGGAAAACATTATTTGTCTTTGTTGATTTTCTTTTCTGGAGTAAGACTAGGTAGGAGGATAGGCCAGG</v>
      </c>
      <c r="N62" t="str">
        <f t="shared" si="2"/>
        <v>CGGTG</v>
      </c>
      <c r="O62" t="str">
        <f t="shared" si="3"/>
        <v>TGACA</v>
      </c>
      <c r="P62">
        <f t="shared" si="4"/>
        <v>154</v>
      </c>
      <c r="Q62" t="str">
        <f t="shared" si="5"/>
        <v>AGAGACAGGAGCCTTCGGTGTATGACACACAGAATAGCTATG</v>
      </c>
    </row>
    <row r="63" spans="1:17" x14ac:dyDescent="0.25">
      <c r="A63" t="s">
        <v>116</v>
      </c>
      <c r="F63" t="s">
        <v>148</v>
      </c>
      <c r="H63" t="str">
        <f t="shared" si="0"/>
        <v>chr9:132921270_:wt</v>
      </c>
      <c r="I63" t="s">
        <v>154</v>
      </c>
      <c r="J63" t="s">
        <v>141</v>
      </c>
      <c r="K63" t="s">
        <v>256</v>
      </c>
      <c r="L63" t="s">
        <v>255</v>
      </c>
      <c r="M63" t="str">
        <f t="shared" si="1"/>
        <v>AGAGACAGGAGCCTTCGGTGAGCATGAACTGGACCCTCGAAGGTATAGAAACTAGTGTCAAAATTTTAAAGAATCTTTCGAGAGATTGAAAATGTGATCTAGGAGGTAATCCCTGTTGAGGTATATTTGGGAATAGGTAGGAGGATAGGCCAGG</v>
      </c>
      <c r="N63" t="str">
        <f t="shared" si="2"/>
        <v>CGGTG</v>
      </c>
      <c r="O63" t="str">
        <f t="shared" si="3"/>
        <v>CATGA</v>
      </c>
      <c r="P63">
        <f t="shared" si="4"/>
        <v>154</v>
      </c>
      <c r="Q63" t="str">
        <f t="shared" si="5"/>
        <v>AGAGACAGGAGCCTTCGGTGAGCATGAACTGGACCCTCGAAG</v>
      </c>
    </row>
    <row r="64" spans="1:17" x14ac:dyDescent="0.25">
      <c r="A64" t="s">
        <v>116</v>
      </c>
      <c r="B64" t="s">
        <v>97</v>
      </c>
      <c r="C64" t="s">
        <v>48</v>
      </c>
      <c r="D64" t="s">
        <v>258</v>
      </c>
      <c r="E64" t="s">
        <v>304</v>
      </c>
      <c r="F64" t="str">
        <f t="shared" ref="F64:F70" si="9">RIGHT(C64,3)</f>
        <v>G&gt;A</v>
      </c>
      <c r="G64">
        <v>8</v>
      </c>
      <c r="H64" t="str">
        <f t="shared" si="0"/>
        <v>chr9:132921270_132921349-132921350:G&gt;A</v>
      </c>
      <c r="I64" t="s">
        <v>155</v>
      </c>
      <c r="J64" t="s">
        <v>217</v>
      </c>
      <c r="K64" t="s">
        <v>256</v>
      </c>
      <c r="L64" t="s">
        <v>257</v>
      </c>
      <c r="M64" t="str">
        <f t="shared" si="1"/>
        <v>AGAGACAGGAGCCTTCGGTGCACATGAACTGGACCCTCGAAGGTATAGAAACTAATGTCAAAATTTTAAAGAATCTTTCGAGAGATTGAAAATGTGATCTAGGAGGTAATCCCTGTTGAGGTATATTTGGGAATAGGTAGGAGGATAGGCCAGG</v>
      </c>
      <c r="N64" t="str">
        <f t="shared" si="2"/>
        <v>CGGTG</v>
      </c>
      <c r="O64" t="str">
        <f t="shared" si="3"/>
        <v>CATGA</v>
      </c>
      <c r="P64">
        <f t="shared" si="4"/>
        <v>154</v>
      </c>
      <c r="Q64" t="str">
        <f t="shared" si="5"/>
        <v>AGAGACAGGAGCCTTCGGTGCACATGAACTGGACCCTCGAAG</v>
      </c>
    </row>
    <row r="65" spans="1:17" x14ac:dyDescent="0.25">
      <c r="A65" t="s">
        <v>116</v>
      </c>
      <c r="B65" t="s">
        <v>97</v>
      </c>
      <c r="C65" t="s">
        <v>49</v>
      </c>
      <c r="D65" t="s">
        <v>258</v>
      </c>
      <c r="E65" t="s">
        <v>305</v>
      </c>
      <c r="F65" t="str">
        <f t="shared" si="9"/>
        <v>C&gt;T</v>
      </c>
      <c r="G65">
        <v>8</v>
      </c>
      <c r="H65" t="str">
        <f t="shared" si="0"/>
        <v>chr9:132921270_132921352-132921353:C&gt;T</v>
      </c>
      <c r="I65" t="s">
        <v>156</v>
      </c>
      <c r="J65" t="s">
        <v>218</v>
      </c>
      <c r="K65" t="s">
        <v>256</v>
      </c>
      <c r="L65" t="s">
        <v>255</v>
      </c>
      <c r="M65" t="str">
        <f t="shared" si="1"/>
        <v>AGAGACAGGAGCCTTCGGTGATCATGAACTGGACCCTCGAAGGTATAGAAATTAGTGTCAAAATTTTAAAGAATCTTTCGAGAGATTGAAAATGTGATCTAGGAGGTAATCCCTGTTGAGGTATATTTGGGAATAGGTAGGAGGATAGGCCAGG</v>
      </c>
      <c r="N65" t="str">
        <f t="shared" si="2"/>
        <v>CGGTG</v>
      </c>
      <c r="O65" t="str">
        <f t="shared" si="3"/>
        <v>CATGA</v>
      </c>
      <c r="P65">
        <f t="shared" si="4"/>
        <v>154</v>
      </c>
      <c r="Q65" t="str">
        <f t="shared" si="5"/>
        <v>AGAGACAGGAGCCTTCGGTGATCATGAACTGGACCCTCGAAG</v>
      </c>
    </row>
    <row r="66" spans="1:17" x14ac:dyDescent="0.25">
      <c r="A66" t="s">
        <v>116</v>
      </c>
      <c r="B66" t="s">
        <v>97</v>
      </c>
      <c r="C66" t="s">
        <v>50</v>
      </c>
      <c r="D66" t="s">
        <v>258</v>
      </c>
      <c r="E66" t="s">
        <v>306</v>
      </c>
      <c r="F66" t="str">
        <f t="shared" si="9"/>
        <v>A&gt;G</v>
      </c>
      <c r="G66">
        <v>8</v>
      </c>
      <c r="H66" t="str">
        <f t="shared" si="0"/>
        <v>chr9:132921270_132921359-132921360:A&gt;G</v>
      </c>
      <c r="I66" t="s">
        <v>338</v>
      </c>
      <c r="J66" t="s">
        <v>219</v>
      </c>
      <c r="K66" t="s">
        <v>256</v>
      </c>
      <c r="L66" t="s">
        <v>255</v>
      </c>
      <c r="M66" t="str">
        <f t="shared" si="1"/>
        <v>AGAGACAGGAGCCTTCGGTGTGCATGAACTGGACCCTCGAAGGTGTAGAAACTAGTGTCAAAATTTTAAAGAATCTTTCGAGAGATTGAAAATGTGATCTAGGAGGTAATCCCTGTTGAGGTATATTTGGGAATAGGTAGGAGGATAGGCCAGG</v>
      </c>
      <c r="N66" t="str">
        <f t="shared" si="2"/>
        <v>CGGTG</v>
      </c>
      <c r="O66" t="str">
        <f t="shared" si="3"/>
        <v>CATGA</v>
      </c>
      <c r="P66">
        <f t="shared" si="4"/>
        <v>154</v>
      </c>
      <c r="Q66" t="str">
        <f t="shared" si="5"/>
        <v>AGAGACAGGAGCCTTCGGTGTGCATGAACTGGACCCTCGAAG</v>
      </c>
    </row>
    <row r="67" spans="1:17" x14ac:dyDescent="0.25">
      <c r="A67" t="s">
        <v>116</v>
      </c>
      <c r="B67" t="s">
        <v>97</v>
      </c>
      <c r="C67" t="s">
        <v>51</v>
      </c>
      <c r="D67" t="s">
        <v>258</v>
      </c>
      <c r="E67" t="s">
        <v>307</v>
      </c>
      <c r="F67" t="str">
        <f t="shared" si="9"/>
        <v>G&gt;-</v>
      </c>
      <c r="G67">
        <v>8</v>
      </c>
      <c r="H67" t="str">
        <f t="shared" ref="H67:H106" si="10">(A67&amp;"_"&amp;E67&amp;":"&amp;F67)</f>
        <v>chr9:132921270_132921361-132921362:G&gt;-</v>
      </c>
      <c r="I67" t="s">
        <v>157</v>
      </c>
      <c r="J67" t="s">
        <v>220</v>
      </c>
      <c r="K67" t="s">
        <v>254</v>
      </c>
      <c r="L67" t="s">
        <v>255</v>
      </c>
      <c r="M67" t="str">
        <f t="shared" ref="M67:M106" si="11">(K67&amp;I67&amp;J67&amp;L67)</f>
        <v>AGAGACAGGAGCCTTCGGTGCTCATGAACTGGACCCTCGAAGTATAGAAACTAGTGTCAAAATTTTAAAGAATCTTTCGAGAGATTGAAAATGTGATCTAGGAGGTAATCCCTGTTGAGGTATATTTGGGAATAGGTAGGAGGATAGGCCAGG</v>
      </c>
      <c r="N67" t="str">
        <f t="shared" ref="N67:N106" si="12">RIGHT(K67,5)</f>
        <v>CGGTG</v>
      </c>
      <c r="O67" t="str">
        <f t="shared" ref="O67:O106" si="13">LEFT(J67,5)</f>
        <v>CATGA</v>
      </c>
      <c r="P67">
        <f t="shared" ref="P67:P106" si="14">LEN(M67)</f>
        <v>153</v>
      </c>
      <c r="Q67" t="str">
        <f t="shared" ref="Q67:Q106" si="15">LEFT(M67,42)</f>
        <v>AGAGACAGGAGCCTTCGGTGCTCATGAACTGGACCCTCGAAG</v>
      </c>
    </row>
    <row r="68" spans="1:17" x14ac:dyDescent="0.25">
      <c r="A68" t="s">
        <v>116</v>
      </c>
      <c r="B68" t="s">
        <v>97</v>
      </c>
      <c r="C68" t="s">
        <v>52</v>
      </c>
      <c r="D68" t="s">
        <v>258</v>
      </c>
      <c r="E68" t="s">
        <v>307</v>
      </c>
      <c r="F68" t="str">
        <f t="shared" si="9"/>
        <v>G&gt;T</v>
      </c>
      <c r="G68">
        <v>8</v>
      </c>
      <c r="H68" t="str">
        <f t="shared" si="10"/>
        <v>chr9:132921270_132921361-132921362:G&gt;T</v>
      </c>
      <c r="I68" t="s">
        <v>158</v>
      </c>
      <c r="J68" t="s">
        <v>221</v>
      </c>
      <c r="K68" t="s">
        <v>254</v>
      </c>
      <c r="L68" t="s">
        <v>255</v>
      </c>
      <c r="M68" t="str">
        <f t="shared" si="11"/>
        <v>AGAGACAGGAGCCTTCGGTGGCCATGAACTGGACCCTCGAAGTTATAGAAACTAGTGTCAAAATTTTAAAGAATCTTTCGAGAGATTGAAAATGTGATCTAGGAGGTAATCCCTGTTGAGGTATATTTGGGAATAGGTAGGAGGATAGGCCAGG</v>
      </c>
      <c r="N68" t="str">
        <f t="shared" si="12"/>
        <v>CGGTG</v>
      </c>
      <c r="O68" t="str">
        <f t="shared" si="13"/>
        <v>CATGA</v>
      </c>
      <c r="P68">
        <f t="shared" si="14"/>
        <v>154</v>
      </c>
      <c r="Q68" t="str">
        <f t="shared" si="15"/>
        <v>AGAGACAGGAGCCTTCGGTGGCCATGAACTGGACCCTCGAAG</v>
      </c>
    </row>
    <row r="69" spans="1:17" x14ac:dyDescent="0.25">
      <c r="A69" t="s">
        <v>116</v>
      </c>
      <c r="B69" t="s">
        <v>97</v>
      </c>
      <c r="C69" t="s">
        <v>53</v>
      </c>
      <c r="D69" t="s">
        <v>258</v>
      </c>
      <c r="E69" t="s">
        <v>307</v>
      </c>
      <c r="F69" t="str">
        <f t="shared" si="9"/>
        <v>G&gt;A</v>
      </c>
      <c r="G69">
        <v>8</v>
      </c>
      <c r="H69" t="str">
        <f t="shared" si="10"/>
        <v>chr9:132921270_132921361-132921362:G&gt;A</v>
      </c>
      <c r="I69" t="s">
        <v>159</v>
      </c>
      <c r="J69" t="s">
        <v>222</v>
      </c>
      <c r="K69" t="s">
        <v>254</v>
      </c>
      <c r="L69" t="s">
        <v>255</v>
      </c>
      <c r="M69" t="str">
        <f t="shared" si="11"/>
        <v>AGAGACAGGAGCCTTCGGTGACCATGAACTGGACCCTCGAAGATATAGAAACTAGTGTCAAAATTTTAAAGAATCTTTCGAGAGATTGAAAATGTGATCTAGGAGGTAATCCCTGTTGAGGTATATTTGGGAATAGGTAGGAGGATAGGCCAGG</v>
      </c>
      <c r="N69" t="str">
        <f t="shared" si="12"/>
        <v>CGGTG</v>
      </c>
      <c r="O69" t="str">
        <f t="shared" si="13"/>
        <v>CATGA</v>
      </c>
      <c r="P69">
        <f t="shared" si="14"/>
        <v>154</v>
      </c>
      <c r="Q69" t="str">
        <f t="shared" si="15"/>
        <v>AGAGACAGGAGCCTTCGGTGACCATGAACTGGACCCTCGAAG</v>
      </c>
    </row>
    <row r="70" spans="1:17" x14ac:dyDescent="0.25">
      <c r="A70" t="s">
        <v>116</v>
      </c>
      <c r="B70" t="s">
        <v>97</v>
      </c>
      <c r="C70" t="s">
        <v>54</v>
      </c>
      <c r="D70" t="s">
        <v>258</v>
      </c>
      <c r="E70" t="s">
        <v>307</v>
      </c>
      <c r="F70" t="str">
        <f t="shared" si="9"/>
        <v>G&gt;C</v>
      </c>
      <c r="G70">
        <v>8</v>
      </c>
      <c r="H70" t="str">
        <f t="shared" si="10"/>
        <v>chr9:132921270_132921361-132921362:G&gt;C</v>
      </c>
      <c r="I70" t="s">
        <v>160</v>
      </c>
      <c r="J70" t="s">
        <v>223</v>
      </c>
      <c r="K70" t="s">
        <v>256</v>
      </c>
      <c r="L70" t="s">
        <v>257</v>
      </c>
      <c r="M70" t="str">
        <f t="shared" si="11"/>
        <v>AGAGACAGGAGCCTTCGGTGCGCATGAACTGGACCCTCGAAGCTATAGAAACTAGTGTCAAAATTTTAAAGAATCTTTCGAGAGATTGAAAATGTGATCTAGGAGGTAATCCCTGTTGAGGTATATTTGGGAATAGGTAGGAGGATAGGCCAGG</v>
      </c>
      <c r="N70" t="str">
        <f t="shared" si="12"/>
        <v>CGGTG</v>
      </c>
      <c r="O70" t="str">
        <f t="shared" si="13"/>
        <v>CATGA</v>
      </c>
      <c r="P70">
        <f t="shared" si="14"/>
        <v>154</v>
      </c>
      <c r="Q70" t="str">
        <f t="shared" si="15"/>
        <v>AGAGACAGGAGCCTTCGGTGCGCATGAACTGGACCCTCGAAG</v>
      </c>
    </row>
    <row r="71" spans="1:17" x14ac:dyDescent="0.25">
      <c r="A71" t="s">
        <v>116</v>
      </c>
      <c r="B71" t="s">
        <v>97</v>
      </c>
      <c r="C71" t="s">
        <v>127</v>
      </c>
      <c r="D71" t="s">
        <v>258</v>
      </c>
      <c r="E71" t="s">
        <v>308</v>
      </c>
      <c r="F71" s="1" t="s">
        <v>128</v>
      </c>
      <c r="G71">
        <v>8</v>
      </c>
      <c r="H71" t="str">
        <f t="shared" si="10"/>
        <v>chr9:132921270_132921361-132921361:-&gt;GG</v>
      </c>
      <c r="I71" t="s">
        <v>161</v>
      </c>
      <c r="J71" t="s">
        <v>224</v>
      </c>
      <c r="K71" t="s">
        <v>256</v>
      </c>
      <c r="L71" t="s">
        <v>255</v>
      </c>
      <c r="M71" t="str">
        <f t="shared" si="11"/>
        <v>AGAGACAGGAGCCTTCGGTGGTCATGAACTGGACCCTCGAAGGGGTATAGAAACTAGTGTCAAAATTTTAAAGAATCTTTCGAGAGATTGAAAATGTGATCTAGGAGGTAATCCCTGTTGAGGTATATTTGGGAATAGGTAGGAGGATAGGCCAGG</v>
      </c>
      <c r="N71" t="str">
        <f t="shared" si="12"/>
        <v>CGGTG</v>
      </c>
      <c r="O71" t="str">
        <f t="shared" si="13"/>
        <v>CATGA</v>
      </c>
      <c r="P71">
        <f t="shared" si="14"/>
        <v>156</v>
      </c>
      <c r="Q71" t="str">
        <f t="shared" si="15"/>
        <v>AGAGACAGGAGCCTTCGGTGGTCATGAACTGGACCCTCGAAG</v>
      </c>
    </row>
    <row r="72" spans="1:17" x14ac:dyDescent="0.25">
      <c r="A72" t="s">
        <v>117</v>
      </c>
      <c r="F72" t="s">
        <v>148</v>
      </c>
      <c r="H72" t="str">
        <f t="shared" si="10"/>
        <v>chr9:132921726_:wt</v>
      </c>
      <c r="I72" t="s">
        <v>162</v>
      </c>
      <c r="J72" t="s">
        <v>142</v>
      </c>
      <c r="K72" t="s">
        <v>256</v>
      </c>
      <c r="L72" t="s">
        <v>257</v>
      </c>
      <c r="M72" t="str">
        <f t="shared" si="11"/>
        <v>AGAGACAGGAGCCTTCGGTGGACTTTTGAAGAAGTGGTCAAGGTAAATTGAAACTGCTTGTTTGTTTGCTACTTAGTATACTGTTTAGATAGGCTGCATTTATACCTTTTGTATTTAACGGCAGACAGGGAAATAGGTAGGAGGATAGGCCAGG</v>
      </c>
      <c r="N72" t="str">
        <f t="shared" si="12"/>
        <v>CGGTG</v>
      </c>
      <c r="O72" t="str">
        <f t="shared" si="13"/>
        <v>CTTTT</v>
      </c>
      <c r="P72">
        <f t="shared" si="14"/>
        <v>154</v>
      </c>
      <c r="Q72" t="str">
        <f t="shared" si="15"/>
        <v>AGAGACAGGAGCCTTCGGTGGACTTTTGAAGAAGTGGTCAAG</v>
      </c>
    </row>
    <row r="73" spans="1:17" x14ac:dyDescent="0.25">
      <c r="A73" t="s">
        <v>117</v>
      </c>
      <c r="B73" t="s">
        <v>98</v>
      </c>
      <c r="C73" t="s">
        <v>55</v>
      </c>
      <c r="D73" t="s">
        <v>258</v>
      </c>
      <c r="E73" t="s">
        <v>309</v>
      </c>
      <c r="F73" t="str">
        <f t="shared" ref="F73:F78" si="16">RIGHT(C73,3)</f>
        <v>A&gt;-</v>
      </c>
      <c r="G73">
        <v>6</v>
      </c>
      <c r="H73" t="str">
        <f t="shared" si="10"/>
        <v>chr9:132921726_132921780-132921781:A&gt;-</v>
      </c>
      <c r="I73" s="4" t="s">
        <v>163</v>
      </c>
      <c r="J73" t="s">
        <v>225</v>
      </c>
      <c r="K73" t="s">
        <v>254</v>
      </c>
      <c r="L73" t="s">
        <v>255</v>
      </c>
      <c r="M73" t="str">
        <f t="shared" si="11"/>
        <v>AGAGACAGGAGCCTTCGGTGTCCTTTTGAAGAAGTGGTCAAGGTAAATTGAAACTGCTTGTTTGTTTGCTACTTAGTATCTGTTTAGATAGGCTGCATTTATACCTTTTGTATTTAACGGCAGACAGGGAAATAGGTAGGAGGATAGGCCAGG</v>
      </c>
      <c r="N73" t="str">
        <f t="shared" si="12"/>
        <v>CGGTG</v>
      </c>
      <c r="O73" t="str">
        <f t="shared" si="13"/>
        <v>CTTTT</v>
      </c>
      <c r="P73">
        <f t="shared" si="14"/>
        <v>153</v>
      </c>
      <c r="Q73" t="str">
        <f t="shared" si="15"/>
        <v>AGAGACAGGAGCCTTCGGTGTCCTTTTGAAGAAGTGGTCAAG</v>
      </c>
    </row>
    <row r="74" spans="1:17" x14ac:dyDescent="0.25">
      <c r="A74" t="s">
        <v>117</v>
      </c>
      <c r="B74" t="s">
        <v>98</v>
      </c>
      <c r="C74" t="s">
        <v>56</v>
      </c>
      <c r="D74" t="s">
        <v>258</v>
      </c>
      <c r="E74" t="s">
        <v>310</v>
      </c>
      <c r="F74" t="str">
        <f t="shared" si="16"/>
        <v>-&gt;C</v>
      </c>
      <c r="G74">
        <v>6</v>
      </c>
      <c r="H74" t="str">
        <f t="shared" si="10"/>
        <v>chr9:132921726_132921780-132921780:-&gt;C</v>
      </c>
      <c r="I74" s="4" t="s">
        <v>153</v>
      </c>
      <c r="J74" t="s">
        <v>226</v>
      </c>
      <c r="K74" t="s">
        <v>254</v>
      </c>
      <c r="L74" t="s">
        <v>255</v>
      </c>
      <c r="M74" t="str">
        <f t="shared" si="11"/>
        <v>AGAGACAGGAGCCTTCGGTGTACTTTTGAAGAAGTGGTCAAGGTAAATTGAAACTGCTTGTTTGTTTGCTACTTAGTATACCTGTTTAGATAGGCTGCATTTATACCTTTTGTATTTAACGGCAGACAGGGAAATAGGTAGGAGGATAGGCCAGG</v>
      </c>
      <c r="N74" t="str">
        <f t="shared" si="12"/>
        <v>CGGTG</v>
      </c>
      <c r="O74" t="str">
        <f t="shared" si="13"/>
        <v>CTTTT</v>
      </c>
      <c r="P74">
        <f t="shared" si="14"/>
        <v>155</v>
      </c>
      <c r="Q74" t="str">
        <f t="shared" si="15"/>
        <v>AGAGACAGGAGCCTTCGGTGTACTTTTGAAGAAGTGGTCAAG</v>
      </c>
    </row>
    <row r="75" spans="1:17" x14ac:dyDescent="0.25">
      <c r="A75" t="s">
        <v>117</v>
      </c>
      <c r="B75" t="s">
        <v>98</v>
      </c>
      <c r="C75" t="s">
        <v>57</v>
      </c>
      <c r="D75" t="s">
        <v>258</v>
      </c>
      <c r="E75" t="s">
        <v>311</v>
      </c>
      <c r="F75" t="str">
        <f t="shared" si="16"/>
        <v>A&gt;G</v>
      </c>
      <c r="G75">
        <v>6</v>
      </c>
      <c r="H75" t="str">
        <f t="shared" si="10"/>
        <v>chr9:132921726_132921789-132921790:A&gt;G</v>
      </c>
      <c r="I75" s="4" t="s">
        <v>154</v>
      </c>
      <c r="J75" t="s">
        <v>227</v>
      </c>
      <c r="K75" t="s">
        <v>254</v>
      </c>
      <c r="L75" t="s">
        <v>257</v>
      </c>
      <c r="M75" t="str">
        <f t="shared" si="11"/>
        <v>AGAGACAGGAGCCTTCGGTGAGCTTTTGAAGAAGTGGTCAAGGTAAATTGAAACTGCTTGTTTGTTTGCTGCTTAGTATACTGTTTAGATAGGCTGCATTTATACCTTTTGTATTTAACGGCAGACAGGGAAATAGGTAGGAGGATAGGCCAGG</v>
      </c>
      <c r="N75" t="str">
        <f t="shared" si="12"/>
        <v>CGGTG</v>
      </c>
      <c r="O75" t="str">
        <f t="shared" si="13"/>
        <v>CTTTT</v>
      </c>
      <c r="P75">
        <f t="shared" si="14"/>
        <v>154</v>
      </c>
      <c r="Q75" t="str">
        <f t="shared" si="15"/>
        <v>AGAGACAGGAGCCTTCGGTGAGCTTTTGAAGAAGTGGTCAAG</v>
      </c>
    </row>
    <row r="76" spans="1:17" x14ac:dyDescent="0.25">
      <c r="A76" t="s">
        <v>117</v>
      </c>
      <c r="B76" t="s">
        <v>98</v>
      </c>
      <c r="C76" t="s">
        <v>58</v>
      </c>
      <c r="D76" t="s">
        <v>258</v>
      </c>
      <c r="E76" t="s">
        <v>312</v>
      </c>
      <c r="F76" t="str">
        <f t="shared" si="16"/>
        <v>A&gt;C</v>
      </c>
      <c r="G76">
        <v>6</v>
      </c>
      <c r="H76" t="str">
        <f t="shared" si="10"/>
        <v>chr9:132921726_132921808-132921809:A&gt;C</v>
      </c>
      <c r="I76" s="4" t="s">
        <v>155</v>
      </c>
      <c r="J76" t="s">
        <v>228</v>
      </c>
      <c r="K76" t="s">
        <v>256</v>
      </c>
      <c r="L76" t="s">
        <v>255</v>
      </c>
      <c r="M76" t="str">
        <f t="shared" si="11"/>
        <v>AGAGACAGGAGCCTTCGGTGCACTTTTGAAGAAGTGGTCAAGGTAAATTGACACTGCTTGTTTGTTTGCTACTTAGTATACTGTTTAGATAGGCTGCATTTATACCTTTTGTATTTAACGGCAGACAGGGAAATAGGTAGGAGGATAGGCCAGG</v>
      </c>
      <c r="N76" t="str">
        <f t="shared" si="12"/>
        <v>CGGTG</v>
      </c>
      <c r="O76" t="str">
        <f t="shared" si="13"/>
        <v>CTTTT</v>
      </c>
      <c r="P76">
        <f t="shared" si="14"/>
        <v>154</v>
      </c>
      <c r="Q76" t="str">
        <f t="shared" si="15"/>
        <v>AGAGACAGGAGCCTTCGGTGCACTTTTGAAGAAGTGGTCAAG</v>
      </c>
    </row>
    <row r="77" spans="1:17" x14ac:dyDescent="0.25">
      <c r="A77" t="s">
        <v>117</v>
      </c>
      <c r="B77" t="s">
        <v>98</v>
      </c>
      <c r="C77" t="s">
        <v>59</v>
      </c>
      <c r="D77" t="s">
        <v>258</v>
      </c>
      <c r="E77" t="s">
        <v>313</v>
      </c>
      <c r="F77" t="str">
        <f t="shared" si="16"/>
        <v>T&gt;A</v>
      </c>
      <c r="G77">
        <v>6</v>
      </c>
      <c r="H77" t="str">
        <f t="shared" si="10"/>
        <v>chr9:132921726_132921811-132921812:T&gt;A</v>
      </c>
      <c r="I77" s="3" t="s">
        <v>348</v>
      </c>
      <c r="J77" t="s">
        <v>229</v>
      </c>
      <c r="K77" t="s">
        <v>254</v>
      </c>
      <c r="L77" t="s">
        <v>257</v>
      </c>
      <c r="M77" t="str">
        <f t="shared" si="11"/>
        <v>AGAGACAGGAGCCTTCGGTGGCCTTTTGAAGAAGTGGTCAAGGTAAATAGAAACTGCTTGTTTGTTTGCTACTTAGTATACTGTTTAGATAGGCTGCATTTATACCTTTTGTATTTAACGGCAGACAGGGAAATAGGTAGGAGGATAGGCCAGG</v>
      </c>
      <c r="N77" t="str">
        <f t="shared" si="12"/>
        <v>CGGTG</v>
      </c>
      <c r="O77" t="str">
        <f t="shared" si="13"/>
        <v>CTTTT</v>
      </c>
      <c r="P77">
        <f t="shared" si="14"/>
        <v>154</v>
      </c>
      <c r="Q77" t="str">
        <f t="shared" si="15"/>
        <v>AGAGACAGGAGCCTTCGGTGGCCTTTTGAAGAAGTGGTCAAG</v>
      </c>
    </row>
    <row r="78" spans="1:17" x14ac:dyDescent="0.25">
      <c r="A78" t="s">
        <v>117</v>
      </c>
      <c r="B78" t="s">
        <v>98</v>
      </c>
      <c r="C78" t="s">
        <v>60</v>
      </c>
      <c r="D78" t="s">
        <v>258</v>
      </c>
      <c r="E78" t="s">
        <v>314</v>
      </c>
      <c r="F78" t="str">
        <f t="shared" si="16"/>
        <v>G&gt;A</v>
      </c>
      <c r="G78">
        <v>6</v>
      </c>
      <c r="H78" t="str">
        <f t="shared" si="10"/>
        <v>chr9:132921726_132921817-132921818:G&gt;A</v>
      </c>
      <c r="I78" s="4" t="s">
        <v>338</v>
      </c>
      <c r="J78" t="s">
        <v>230</v>
      </c>
      <c r="K78" t="s">
        <v>256</v>
      </c>
      <c r="L78" t="s">
        <v>255</v>
      </c>
      <c r="M78" t="str">
        <f t="shared" si="11"/>
        <v>AGAGACAGGAGCCTTCGGTGTGCTTTTGAAGAAGTGGTCAAGATAAATTGAAACTGCTTGTTTGTTTGCTACTTAGTATACTGTTTAGATAGGCTGCATTTATACCTTTTGTATTTAACGGCAGACAGGGAAATAGGTAGGAGGATAGGCCAGG</v>
      </c>
      <c r="N78" t="str">
        <f t="shared" si="12"/>
        <v>CGGTG</v>
      </c>
      <c r="O78" t="str">
        <f t="shared" si="13"/>
        <v>CTTTT</v>
      </c>
      <c r="P78">
        <f t="shared" si="14"/>
        <v>154</v>
      </c>
      <c r="Q78" t="str">
        <f t="shared" si="15"/>
        <v>AGAGACAGGAGCCTTCGGTGTGCTTTTGAAGAAGTGGTCAAG</v>
      </c>
    </row>
    <row r="79" spans="1:17" x14ac:dyDescent="0.25">
      <c r="A79" t="s">
        <v>118</v>
      </c>
      <c r="F79" t="s">
        <v>148</v>
      </c>
      <c r="H79" t="str">
        <f t="shared" si="10"/>
        <v>chr9:132923255_:wt</v>
      </c>
      <c r="I79" t="s">
        <v>157</v>
      </c>
      <c r="J79" t="s">
        <v>143</v>
      </c>
      <c r="K79" t="s">
        <v>254</v>
      </c>
      <c r="L79" t="s">
        <v>255</v>
      </c>
      <c r="M79" t="str">
        <f t="shared" si="11"/>
        <v>AGAGACAGGAGCCTTCGGTGCTATGGTGCCTGAAGAAACCAGGTACAGATCTCCTCATATACCTGTTGGGCCCTGTGAGGTGAATGCTTTCATTATTGATTAATTGCTCATATGCTGTAAGGAATGGACATGTAAGGTAGGAGGATAGGCCAGG</v>
      </c>
      <c r="N79" t="str">
        <f t="shared" si="12"/>
        <v>CGGTG</v>
      </c>
      <c r="O79" t="str">
        <f t="shared" si="13"/>
        <v>ATGGT</v>
      </c>
      <c r="P79">
        <f t="shared" si="14"/>
        <v>154</v>
      </c>
      <c r="Q79" t="str">
        <f t="shared" si="15"/>
        <v>AGAGACAGGAGCCTTCGGTGCTATGGTGCCTGAAGAAACCAG</v>
      </c>
    </row>
    <row r="80" spans="1:17" x14ac:dyDescent="0.25">
      <c r="A80" t="s">
        <v>118</v>
      </c>
      <c r="B80" t="s">
        <v>99</v>
      </c>
      <c r="C80" t="s">
        <v>61</v>
      </c>
      <c r="D80" t="s">
        <v>258</v>
      </c>
      <c r="E80" t="s">
        <v>315</v>
      </c>
      <c r="F80" t="str">
        <f>RIGHT(C80,3)</f>
        <v>T&gt;C</v>
      </c>
      <c r="G80">
        <v>5</v>
      </c>
      <c r="H80" t="str">
        <f t="shared" si="10"/>
        <v>chr9:132923255_132923329-132923330:T&gt;C</v>
      </c>
      <c r="I80" t="s">
        <v>158</v>
      </c>
      <c r="J80" t="s">
        <v>231</v>
      </c>
      <c r="K80" t="s">
        <v>254</v>
      </c>
      <c r="L80" t="s">
        <v>255</v>
      </c>
      <c r="M80" t="str">
        <f t="shared" si="11"/>
        <v>AGAGACAGGAGCCTTCGGTGGCATGGTGCCTGAAGAAACCAGGTACAGATCTCCTCATACACCTGTTGGGCCCTGTGAGGTGAATGCTTTCATTATTGATTAATTGCTCATATGCTGTAAGGAATGGACATGTAAGGTAGGAGGATAGGCCAGG</v>
      </c>
      <c r="N80" t="str">
        <f t="shared" si="12"/>
        <v>CGGTG</v>
      </c>
      <c r="O80" t="str">
        <f t="shared" si="13"/>
        <v>ATGGT</v>
      </c>
      <c r="P80">
        <f t="shared" si="14"/>
        <v>154</v>
      </c>
      <c r="Q80" t="str">
        <f t="shared" si="15"/>
        <v>AGAGACAGGAGCCTTCGGTGGCATGGTGCCTGAAGAAACCAG</v>
      </c>
    </row>
    <row r="81" spans="1:17" x14ac:dyDescent="0.25">
      <c r="A81" t="s">
        <v>118</v>
      </c>
      <c r="B81" t="s">
        <v>99</v>
      </c>
      <c r="C81" t="s">
        <v>62</v>
      </c>
      <c r="D81" t="s">
        <v>258</v>
      </c>
      <c r="E81" t="s">
        <v>316</v>
      </c>
      <c r="F81" t="str">
        <f>RIGHT(C81,3)</f>
        <v>A&gt;G</v>
      </c>
      <c r="G81">
        <v>5</v>
      </c>
      <c r="H81" t="str">
        <f t="shared" si="10"/>
        <v>chr9:132923255_132923344-132923345:A&gt;G</v>
      </c>
      <c r="I81" t="s">
        <v>159</v>
      </c>
      <c r="J81" t="s">
        <v>232</v>
      </c>
      <c r="K81" t="s">
        <v>254</v>
      </c>
      <c r="L81" t="s">
        <v>257</v>
      </c>
      <c r="M81" t="str">
        <f t="shared" si="11"/>
        <v>AGAGACAGGAGCCTTCGGTGACATGGTGCCTGAAGAAACCAGGTGCAGATCTCCTCATATACCTGTTGGGCCCTGTGAGGTGAATGCTTTCATTATTGATTAATTGCTCATATGCTGTAAGGAATGGACATGTAAGGTAGGAGGATAGGCCAGG</v>
      </c>
      <c r="N81" t="str">
        <f t="shared" si="12"/>
        <v>CGGTG</v>
      </c>
      <c r="O81" t="str">
        <f t="shared" si="13"/>
        <v>ATGGT</v>
      </c>
      <c r="P81">
        <f t="shared" si="14"/>
        <v>154</v>
      </c>
      <c r="Q81" t="str">
        <f t="shared" si="15"/>
        <v>AGAGACAGGAGCCTTCGGTGACATGGTGCCTGAAGAAACCAG</v>
      </c>
    </row>
    <row r="82" spans="1:17" x14ac:dyDescent="0.25">
      <c r="A82" t="s">
        <v>118</v>
      </c>
      <c r="B82" t="s">
        <v>99</v>
      </c>
      <c r="C82" t="s">
        <v>63</v>
      </c>
      <c r="D82" t="s">
        <v>258</v>
      </c>
      <c r="E82" t="s">
        <v>317</v>
      </c>
      <c r="F82" t="str">
        <f>RIGHT(C82,3)</f>
        <v>T&gt;C</v>
      </c>
      <c r="G82">
        <v>5</v>
      </c>
      <c r="H82" t="str">
        <f t="shared" si="10"/>
        <v>chr9:132923255_132923345-132923346:T&gt;C</v>
      </c>
      <c r="I82" t="s">
        <v>160</v>
      </c>
      <c r="J82" t="s">
        <v>233</v>
      </c>
      <c r="K82" t="s">
        <v>256</v>
      </c>
      <c r="L82" t="s">
        <v>257</v>
      </c>
      <c r="M82" t="str">
        <f t="shared" si="11"/>
        <v>AGAGACAGGAGCCTTCGGTGCGATGGTGCCTGAAGAAACCAGGCACAGATCTCCTCATATACCTGTTGGGCCCTGTGAGGTGAATGCTTTCATTATTGATTAATTGCTCATATGCTGTAAGGAATGGACATGTAAGGTAGGAGGATAGGCCAGG</v>
      </c>
      <c r="N82" t="str">
        <f t="shared" si="12"/>
        <v>CGGTG</v>
      </c>
      <c r="O82" t="str">
        <f t="shared" si="13"/>
        <v>ATGGT</v>
      </c>
      <c r="P82">
        <f t="shared" si="14"/>
        <v>154</v>
      </c>
      <c r="Q82" t="str">
        <f t="shared" si="15"/>
        <v>AGAGACAGGAGCCTTCGGTGCGATGGTGCCTGAAGAAACCAG</v>
      </c>
    </row>
    <row r="83" spans="1:17" x14ac:dyDescent="0.25">
      <c r="A83" t="s">
        <v>118</v>
      </c>
      <c r="B83" t="s">
        <v>99</v>
      </c>
      <c r="C83" t="s">
        <v>64</v>
      </c>
      <c r="D83" t="s">
        <v>258</v>
      </c>
      <c r="E83" t="s">
        <v>318</v>
      </c>
      <c r="F83" t="str">
        <f>RIGHT(C83,3)</f>
        <v>G&gt;C</v>
      </c>
      <c r="G83">
        <v>5</v>
      </c>
      <c r="H83" t="str">
        <f t="shared" si="10"/>
        <v>chr9:132923255_132923346-132923347:G&gt;C</v>
      </c>
      <c r="I83" t="s">
        <v>161</v>
      </c>
      <c r="J83" t="s">
        <v>234</v>
      </c>
      <c r="K83" t="s">
        <v>256</v>
      </c>
      <c r="L83" t="s">
        <v>255</v>
      </c>
      <c r="M83" t="str">
        <f t="shared" si="11"/>
        <v>AGAGACAGGAGCCTTCGGTGGTATGGTGCCTGAAGAAACCAGCTACAGATCTCCTCATATACCTGTTGGGCCCTGTGAGGTGAATGCTTTCATTATTGATTAATTGCTCATATGCTGTAAGGAATGGACATGTAAGGTAGGAGGATAGGCCAGG</v>
      </c>
      <c r="N83" t="str">
        <f t="shared" si="12"/>
        <v>CGGTG</v>
      </c>
      <c r="O83" t="str">
        <f t="shared" si="13"/>
        <v>ATGGT</v>
      </c>
      <c r="P83">
        <f t="shared" si="14"/>
        <v>154</v>
      </c>
      <c r="Q83" t="str">
        <f t="shared" si="15"/>
        <v>AGAGACAGGAGCCTTCGGTGGTATGGTGCCTGAAGAAACCAG</v>
      </c>
    </row>
    <row r="84" spans="1:17" x14ac:dyDescent="0.25">
      <c r="A84" t="s">
        <v>118</v>
      </c>
      <c r="B84" t="s">
        <v>99</v>
      </c>
      <c r="C84" t="s">
        <v>65</v>
      </c>
      <c r="D84" t="s">
        <v>258</v>
      </c>
      <c r="E84" t="s">
        <v>318</v>
      </c>
      <c r="F84" t="str">
        <f>RIGHT(C84,3)</f>
        <v>G&gt;A</v>
      </c>
      <c r="G84">
        <v>5</v>
      </c>
      <c r="H84" t="str">
        <f t="shared" si="10"/>
        <v>chr9:132923255_132923346-132923347:G&gt;A</v>
      </c>
      <c r="I84" s="3" t="s">
        <v>349</v>
      </c>
      <c r="J84" t="s">
        <v>235</v>
      </c>
      <c r="K84" t="s">
        <v>254</v>
      </c>
      <c r="L84" t="s">
        <v>257</v>
      </c>
      <c r="M84" t="str">
        <f t="shared" si="11"/>
        <v>AGAGACAGGAGCCTTCGGTGAGATGGTGCCTGAAGAAACCAGATACAGATCTCCTCATATACCTGTTGGGCCCTGTGAGGTGAATGCTTTCATTATTGATTAATTGCTCATATGCTGTAAGGAATGGACATGTAAGGTAGGAGGATAGGCCAGG</v>
      </c>
      <c r="N84" t="str">
        <f t="shared" si="12"/>
        <v>CGGTG</v>
      </c>
      <c r="O84" t="str">
        <f t="shared" si="13"/>
        <v>ATGGT</v>
      </c>
      <c r="P84">
        <f t="shared" si="14"/>
        <v>154</v>
      </c>
      <c r="Q84" t="str">
        <f t="shared" si="15"/>
        <v>AGAGACAGGAGCCTTCGGTGAGATGGTGCCTGAAGAAACCAG</v>
      </c>
    </row>
    <row r="85" spans="1:17" x14ac:dyDescent="0.25">
      <c r="A85" t="s">
        <v>119</v>
      </c>
      <c r="F85" t="s">
        <v>148</v>
      </c>
      <c r="H85" t="str">
        <f t="shared" si="10"/>
        <v>chr9:132925494_:wt</v>
      </c>
      <c r="I85" t="s">
        <v>163</v>
      </c>
      <c r="J85" t="s">
        <v>144</v>
      </c>
      <c r="K85" t="s">
        <v>256</v>
      </c>
      <c r="L85" t="s">
        <v>255</v>
      </c>
      <c r="M85" t="str">
        <f t="shared" si="11"/>
        <v>AGAGACAGGAGCCTTCGGTGTCCTTTACTAAAATGTCTCAAGGTAGGATGTTTGTAAGGATTTGAATGAAATGGTTTTATGAGTATAGTTTCTGAAATTTTAGGCAACTTAAAGCAAGGAAGCTAGATTTTAACAGGTAGGAGGATAGGCCAGG</v>
      </c>
      <c r="N85" t="str">
        <f t="shared" si="12"/>
        <v>CGGTG</v>
      </c>
      <c r="O85" t="str">
        <f t="shared" si="13"/>
        <v>CTTTA</v>
      </c>
      <c r="P85">
        <f t="shared" si="14"/>
        <v>154</v>
      </c>
      <c r="Q85" t="str">
        <f t="shared" si="15"/>
        <v>AGAGACAGGAGCCTTCGGTGTCCTTTACTAAAATGTCTCAAG</v>
      </c>
    </row>
    <row r="86" spans="1:17" x14ac:dyDescent="0.25">
      <c r="A86" t="s">
        <v>119</v>
      </c>
      <c r="B86" t="s">
        <v>100</v>
      </c>
      <c r="C86" t="s">
        <v>66</v>
      </c>
      <c r="D86" t="s">
        <v>258</v>
      </c>
      <c r="E86" t="s">
        <v>319</v>
      </c>
      <c r="F86" t="str">
        <f>RIGHT(C86,3)</f>
        <v>T&gt;C</v>
      </c>
      <c r="G86">
        <v>5</v>
      </c>
      <c r="H86" t="str">
        <f t="shared" si="10"/>
        <v>chr9:132925494_132925539-132925540:T&gt;C</v>
      </c>
      <c r="I86" t="s">
        <v>153</v>
      </c>
      <c r="J86" t="s">
        <v>236</v>
      </c>
      <c r="K86" t="s">
        <v>256</v>
      </c>
      <c r="L86" t="s">
        <v>255</v>
      </c>
      <c r="M86" t="str">
        <f t="shared" si="11"/>
        <v>AGAGACAGGAGCCTTCGGTGTACTTTACTAAAATGTCTCAAGGTAGGATGTTTGTAAGGATTTGAATGAAATGGTTTTATGAGTATAGCTTCTGAAATTTTAGGCAACTTAAAGCAAGGAAGCTAGATTTTAACAGGTAGGAGGATAGGCCAGG</v>
      </c>
      <c r="N86" t="str">
        <f t="shared" si="12"/>
        <v>CGGTG</v>
      </c>
      <c r="O86" t="str">
        <f t="shared" si="13"/>
        <v>CTTTA</v>
      </c>
      <c r="P86">
        <f t="shared" si="14"/>
        <v>154</v>
      </c>
      <c r="Q86" t="str">
        <f t="shared" si="15"/>
        <v>AGAGACAGGAGCCTTCGGTGTACTTTACTAAAATGTCTCAAG</v>
      </c>
    </row>
    <row r="87" spans="1:17" x14ac:dyDescent="0.25">
      <c r="A87" t="s">
        <v>119</v>
      </c>
      <c r="B87" t="s">
        <v>100</v>
      </c>
      <c r="C87" t="s">
        <v>67</v>
      </c>
      <c r="D87" t="s">
        <v>258</v>
      </c>
      <c r="E87" t="s">
        <v>320</v>
      </c>
      <c r="F87" t="str">
        <f>RIGHT(C87,3)</f>
        <v>G&gt;A</v>
      </c>
      <c r="G87">
        <v>5</v>
      </c>
      <c r="H87" t="str">
        <f t="shared" si="10"/>
        <v>chr9:132925494_132925581-132925582:G&gt;A</v>
      </c>
      <c r="I87" t="s">
        <v>154</v>
      </c>
      <c r="J87" t="s">
        <v>237</v>
      </c>
      <c r="K87" t="s">
        <v>254</v>
      </c>
      <c r="L87" t="s">
        <v>255</v>
      </c>
      <c r="M87" t="str">
        <f t="shared" si="11"/>
        <v>AGAGACAGGAGCCTTCGGTGAGCTTTACTAAAATGTCTCAAGGTAGAATGTTTGTAAGGATTTGAATGAAATGGTTTTATGAGTATAGTTTCTGAAATTTTAGGCAACTTAAAGCAAGGAAGCTAGATTTTAACAGGTAGGAGGATAGGCCAGG</v>
      </c>
      <c r="N87" t="str">
        <f t="shared" si="12"/>
        <v>CGGTG</v>
      </c>
      <c r="O87" t="str">
        <f t="shared" si="13"/>
        <v>CTTTA</v>
      </c>
      <c r="P87">
        <f t="shared" si="14"/>
        <v>154</v>
      </c>
      <c r="Q87" t="str">
        <f t="shared" si="15"/>
        <v>AGAGACAGGAGCCTTCGGTGAGCTTTACTAAAATGTCTCAAG</v>
      </c>
    </row>
    <row r="88" spans="1:17" x14ac:dyDescent="0.25">
      <c r="A88" t="s">
        <v>119</v>
      </c>
      <c r="B88" t="s">
        <v>100</v>
      </c>
      <c r="C88" t="s">
        <v>68</v>
      </c>
      <c r="D88" t="s">
        <v>258</v>
      </c>
      <c r="E88" t="s">
        <v>321</v>
      </c>
      <c r="F88" t="str">
        <f>RIGHT(C88,3)</f>
        <v>G&gt;T</v>
      </c>
      <c r="G88">
        <v>5</v>
      </c>
      <c r="H88" t="str">
        <f t="shared" si="10"/>
        <v>chr9:132925494_132925585-132925586:G&gt;T</v>
      </c>
      <c r="I88" t="s">
        <v>155</v>
      </c>
      <c r="J88" t="s">
        <v>238</v>
      </c>
      <c r="K88" t="s">
        <v>256</v>
      </c>
      <c r="L88" t="s">
        <v>255</v>
      </c>
      <c r="M88" t="str">
        <f t="shared" si="11"/>
        <v>AGAGACAGGAGCCTTCGGTGCACTTTACTAAAATGTCTCAAGTTAGGATGTTTGTAAGGATTTGAATGAAATGGTTTTATGAGTATAGTTTCTGAAATTTTAGGCAACTTAAAGCAAGGAAGCTAGATTTTAACAGGTAGGAGGATAGGCCAGG</v>
      </c>
      <c r="N88" t="str">
        <f t="shared" si="12"/>
        <v>CGGTG</v>
      </c>
      <c r="O88" t="str">
        <f t="shared" si="13"/>
        <v>CTTTA</v>
      </c>
      <c r="P88">
        <f t="shared" si="14"/>
        <v>154</v>
      </c>
      <c r="Q88" t="str">
        <f t="shared" si="15"/>
        <v>AGAGACAGGAGCCTTCGGTGCACTTTACTAAAATGTCTCAAG</v>
      </c>
    </row>
    <row r="89" spans="1:17" x14ac:dyDescent="0.25">
      <c r="A89" t="s">
        <v>119</v>
      </c>
      <c r="B89" t="s">
        <v>100</v>
      </c>
      <c r="C89" t="s">
        <v>69</v>
      </c>
      <c r="D89" t="s">
        <v>258</v>
      </c>
      <c r="E89" t="s">
        <v>321</v>
      </c>
      <c r="F89" t="str">
        <f>RIGHT(C89,3)</f>
        <v>G&gt;A</v>
      </c>
      <c r="G89">
        <v>5</v>
      </c>
      <c r="H89" t="str">
        <f t="shared" si="10"/>
        <v>chr9:132925494_132925585-132925586:G&gt;A</v>
      </c>
      <c r="I89" s="3" t="s">
        <v>350</v>
      </c>
      <c r="J89" t="s">
        <v>239</v>
      </c>
      <c r="K89" t="s">
        <v>256</v>
      </c>
      <c r="L89" t="s">
        <v>257</v>
      </c>
      <c r="M89" t="str">
        <f t="shared" si="11"/>
        <v>AGAGACAGGAGCCTTCGGTGGCCTTTACTAAAATGTCTCAAGATAGGATGTTTGTAAGGATTTGAATGAAATGGTTTTATGAGTATAGTTTCTGAAATTTTAGGCAACTTAAAGCAAGGAAGCTAGATTTTAACAGGTAGGAGGATAGGCCAGG</v>
      </c>
      <c r="N89" t="str">
        <f t="shared" si="12"/>
        <v>CGGTG</v>
      </c>
      <c r="O89" t="str">
        <f t="shared" si="13"/>
        <v>CTTTA</v>
      </c>
      <c r="P89">
        <f t="shared" si="14"/>
        <v>154</v>
      </c>
      <c r="Q89" t="str">
        <f t="shared" si="15"/>
        <v>AGAGACAGGAGCCTTCGGTGGCCTTTACTAAAATGTCTCAAG</v>
      </c>
    </row>
    <row r="90" spans="1:17" x14ac:dyDescent="0.25">
      <c r="A90" t="s">
        <v>119</v>
      </c>
      <c r="B90" t="s">
        <v>100</v>
      </c>
      <c r="C90" t="s">
        <v>70</v>
      </c>
      <c r="D90" t="s">
        <v>258</v>
      </c>
      <c r="E90" t="s">
        <v>322</v>
      </c>
      <c r="F90" t="str">
        <f>RIGHT(C90,3)</f>
        <v>-&gt;G</v>
      </c>
      <c r="G90">
        <v>5</v>
      </c>
      <c r="H90" t="str">
        <f t="shared" si="10"/>
        <v>chr9:132925494_132925585-132925585:-&gt;G</v>
      </c>
      <c r="I90" t="s">
        <v>342</v>
      </c>
      <c r="J90" t="s">
        <v>240</v>
      </c>
      <c r="K90" t="s">
        <v>254</v>
      </c>
      <c r="L90" t="s">
        <v>255</v>
      </c>
      <c r="M90" t="str">
        <f t="shared" si="11"/>
        <v>AGAGACAGGAGCCTTCGGTGTGCTTTACTAAAATGTCTCAAGGGTAGGATGTTTGTAAGGATTTGAATGAAATGGTTTTATGAGTATAGTTTCTGAAATTTTAGGCAACTTAAAGCAAGGAAGCTAGATTTTAACAGGTAGGAGGATAGGCCAGG</v>
      </c>
      <c r="N90" t="str">
        <f t="shared" si="12"/>
        <v>CGGTG</v>
      </c>
      <c r="O90" t="str">
        <f t="shared" si="13"/>
        <v>CTTTA</v>
      </c>
      <c r="P90">
        <f t="shared" si="14"/>
        <v>155</v>
      </c>
      <c r="Q90" t="str">
        <f t="shared" si="15"/>
        <v>AGAGACAGGAGCCTTCGGTGTGCTTTACTAAAATGTCTCAAG</v>
      </c>
    </row>
    <row r="91" spans="1:17" x14ac:dyDescent="0.25">
      <c r="A91" t="s">
        <v>120</v>
      </c>
      <c r="F91" t="s">
        <v>148</v>
      </c>
      <c r="H91" t="str">
        <f t="shared" si="10"/>
        <v>chr9:132927108_:wt</v>
      </c>
      <c r="I91" t="s">
        <v>157</v>
      </c>
      <c r="J91" t="s">
        <v>145</v>
      </c>
      <c r="K91" t="s">
        <v>256</v>
      </c>
      <c r="L91" t="s">
        <v>257</v>
      </c>
      <c r="M91" t="str">
        <f t="shared" si="11"/>
        <v>AGAGACAGGAGCCTTCGGTGCTTGCAAGAGCCACATGACAAGGTAATGGCTGAAATATCATAGGCATTTCATATGTTCTTCATGAGTACAACAGCTTCTGTGCACGGCCACTGTGCAACTTGTCCTGAGCTTATAGGTAGGAGGATAGGCCAGG</v>
      </c>
      <c r="N91" t="str">
        <f t="shared" si="12"/>
        <v>CGGTG</v>
      </c>
      <c r="O91" t="str">
        <f t="shared" si="13"/>
        <v>TGCAA</v>
      </c>
      <c r="P91">
        <f t="shared" si="14"/>
        <v>154</v>
      </c>
      <c r="Q91" t="str">
        <f t="shared" si="15"/>
        <v>AGAGACAGGAGCCTTCGGTGCTTGCAAGAGCCACATGACAAG</v>
      </c>
    </row>
    <row r="92" spans="1:17" x14ac:dyDescent="0.25">
      <c r="A92" t="s">
        <v>120</v>
      </c>
      <c r="B92" t="s">
        <v>101</v>
      </c>
      <c r="C92" t="s">
        <v>71</v>
      </c>
      <c r="D92" t="s">
        <v>258</v>
      </c>
      <c r="E92" t="s">
        <v>323</v>
      </c>
      <c r="F92" t="str">
        <f>RIGHT(C92,3)</f>
        <v>G&gt;A</v>
      </c>
      <c r="G92">
        <v>5</v>
      </c>
      <c r="H92" t="str">
        <f t="shared" si="10"/>
        <v>chr9:132927108_132927167-132927168:G&gt;A</v>
      </c>
      <c r="I92" t="s">
        <v>158</v>
      </c>
      <c r="J92" t="s">
        <v>241</v>
      </c>
      <c r="K92" t="s">
        <v>256</v>
      </c>
      <c r="L92" t="s">
        <v>257</v>
      </c>
      <c r="M92" t="str">
        <f t="shared" si="11"/>
        <v>AGAGACAGGAGCCTTCGGTGGCTGCAAGAGCCACATGACAAGGTAATGGCTGAAATATCATAGGCATTTCATATATTCTTCATGAGTACAACAGCTTCTGTGCACGGCCACTGTGCAACTTGTCCTGAGCTTATAGGTAGGAGGATAGGCCAGG</v>
      </c>
      <c r="N92" t="str">
        <f t="shared" si="12"/>
        <v>CGGTG</v>
      </c>
      <c r="O92" t="str">
        <f t="shared" si="13"/>
        <v>TGCAA</v>
      </c>
      <c r="P92">
        <f t="shared" si="14"/>
        <v>154</v>
      </c>
      <c r="Q92" t="str">
        <f t="shared" si="15"/>
        <v>AGAGACAGGAGCCTTCGGTGGCTGCAAGAGCCACATGACAAG</v>
      </c>
    </row>
    <row r="93" spans="1:17" x14ac:dyDescent="0.25">
      <c r="A93" t="s">
        <v>120</v>
      </c>
      <c r="B93" t="s">
        <v>101</v>
      </c>
      <c r="C93" t="s">
        <v>72</v>
      </c>
      <c r="D93" t="s">
        <v>258</v>
      </c>
      <c r="E93" t="s">
        <v>324</v>
      </c>
      <c r="F93" t="str">
        <f>RIGHT(C93,3)</f>
        <v>A&gt;G</v>
      </c>
      <c r="G93">
        <v>5</v>
      </c>
      <c r="H93" t="str">
        <f t="shared" si="10"/>
        <v>chr9:132927108_132927182-132927183:A&gt;G</v>
      </c>
      <c r="I93" t="s">
        <v>159</v>
      </c>
      <c r="J93" t="s">
        <v>242</v>
      </c>
      <c r="K93" t="s">
        <v>256</v>
      </c>
      <c r="L93" t="s">
        <v>257</v>
      </c>
      <c r="M93" t="str">
        <f t="shared" si="11"/>
        <v>AGAGACAGGAGCCTTCGGTGACTGCAAGAGCCACATGACAAGGTAATGGCTGAAATATCGTAGGCATTTCATATGTTCTTCATGAGTACAACAGCTTCTGTGCACGGCCACTGTGCAACTTGTCCTGAGCTTATAGGTAGGAGGATAGGCCAGG</v>
      </c>
      <c r="N93" t="str">
        <f t="shared" si="12"/>
        <v>CGGTG</v>
      </c>
      <c r="O93" t="str">
        <f t="shared" si="13"/>
        <v>TGCAA</v>
      </c>
      <c r="P93">
        <f t="shared" si="14"/>
        <v>154</v>
      </c>
      <c r="Q93" t="str">
        <f t="shared" si="15"/>
        <v>AGAGACAGGAGCCTTCGGTGACTGCAAGAGCCACATGACAAG</v>
      </c>
    </row>
    <row r="94" spans="1:17" x14ac:dyDescent="0.25">
      <c r="A94" t="s">
        <v>120</v>
      </c>
      <c r="B94" t="s">
        <v>101</v>
      </c>
      <c r="C94" t="s">
        <v>73</v>
      </c>
      <c r="D94" t="s">
        <v>258</v>
      </c>
      <c r="E94" t="s">
        <v>325</v>
      </c>
      <c r="F94" t="str">
        <f>RIGHT(C94,3)</f>
        <v>T&gt;G</v>
      </c>
      <c r="G94">
        <v>5</v>
      </c>
      <c r="H94" t="str">
        <f t="shared" si="10"/>
        <v>chr9:132927108_132927184-132927185:T&gt;G</v>
      </c>
      <c r="I94" t="s">
        <v>160</v>
      </c>
      <c r="J94" t="s">
        <v>243</v>
      </c>
      <c r="K94" t="s">
        <v>254</v>
      </c>
      <c r="L94" t="s">
        <v>255</v>
      </c>
      <c r="M94" t="str">
        <f t="shared" si="11"/>
        <v>AGAGACAGGAGCCTTCGGTGCGTGCAAGAGCCACATGACAAGGTAATGGCTGAAATAGCATAGGCATTTCATATGTTCTTCATGAGTACAACAGCTTCTGTGCACGGCCACTGTGCAACTTGTCCTGAGCTTATAGGTAGGAGGATAGGCCAGG</v>
      </c>
      <c r="N94" t="str">
        <f t="shared" si="12"/>
        <v>CGGTG</v>
      </c>
      <c r="O94" t="str">
        <f t="shared" si="13"/>
        <v>TGCAA</v>
      </c>
      <c r="P94">
        <f t="shared" si="14"/>
        <v>154</v>
      </c>
      <c r="Q94" t="str">
        <f t="shared" si="15"/>
        <v>AGAGACAGGAGCCTTCGGTGCGTGCAAGAGCCACATGACAAG</v>
      </c>
    </row>
    <row r="95" spans="1:17" x14ac:dyDescent="0.25">
      <c r="A95" t="s">
        <v>120</v>
      </c>
      <c r="B95" t="s">
        <v>101</v>
      </c>
      <c r="C95" t="s">
        <v>74</v>
      </c>
      <c r="D95" t="s">
        <v>258</v>
      </c>
      <c r="E95" t="s">
        <v>326</v>
      </c>
      <c r="F95" t="str">
        <f>RIGHT(C95,3)</f>
        <v>A&gt;G</v>
      </c>
      <c r="G95">
        <v>5</v>
      </c>
      <c r="H95" t="str">
        <f t="shared" si="10"/>
        <v>chr9:132927108_132927187-132927188:A&gt;G</v>
      </c>
      <c r="I95" t="s">
        <v>161</v>
      </c>
      <c r="J95" t="s">
        <v>244</v>
      </c>
      <c r="K95" t="s">
        <v>256</v>
      </c>
      <c r="L95" t="s">
        <v>255</v>
      </c>
      <c r="M95" t="str">
        <f t="shared" si="11"/>
        <v>AGAGACAGGAGCCTTCGGTGGTTGCAAGAGCCACATGACAAGGTAATGGCTGAAGTATCATAGGCATTTCATATGTTCTTCATGAGTACAACAGCTTCTGTGCACGGCCACTGTGCAACTTGTCCTGAGCTTATAGGTAGGAGGATAGGCCAGG</v>
      </c>
      <c r="N95" t="str">
        <f t="shared" si="12"/>
        <v>CGGTG</v>
      </c>
      <c r="O95" t="str">
        <f t="shared" si="13"/>
        <v>TGCAA</v>
      </c>
      <c r="P95">
        <f t="shared" si="14"/>
        <v>154</v>
      </c>
      <c r="Q95" t="str">
        <f t="shared" si="15"/>
        <v>AGAGACAGGAGCCTTCGGTGGTTGCAAGAGCCACATGACAAG</v>
      </c>
    </row>
    <row r="96" spans="1:17" x14ac:dyDescent="0.25">
      <c r="A96" t="s">
        <v>120</v>
      </c>
      <c r="B96" t="s">
        <v>101</v>
      </c>
      <c r="C96" t="s">
        <v>75</v>
      </c>
      <c r="D96" t="s">
        <v>258</v>
      </c>
      <c r="E96" t="s">
        <v>327</v>
      </c>
      <c r="F96" t="str">
        <f>RIGHT(C96,3)</f>
        <v>G&gt;A</v>
      </c>
      <c r="G96">
        <v>5</v>
      </c>
      <c r="H96" t="str">
        <f t="shared" si="10"/>
        <v>chr9:132927108_132927199-132927200:G&gt;A</v>
      </c>
      <c r="I96" t="s">
        <v>162</v>
      </c>
      <c r="J96" t="s">
        <v>245</v>
      </c>
      <c r="K96" t="s">
        <v>256</v>
      </c>
      <c r="L96" t="s">
        <v>255</v>
      </c>
      <c r="M96" t="str">
        <f t="shared" si="11"/>
        <v>AGAGACAGGAGCCTTCGGTGGATGCAAGAGCCACATGACAAGATAATGGCTGAAATATCATAGGCATTTCATATGTTCTTCATGAGTACAACAGCTTCTGTGCACGGCCACTGTGCAACTTGTCCTGAGCTTATAGGTAGGAGGATAGGCCAGG</v>
      </c>
      <c r="N96" t="str">
        <f t="shared" si="12"/>
        <v>CGGTG</v>
      </c>
      <c r="O96" t="str">
        <f t="shared" si="13"/>
        <v>TGCAA</v>
      </c>
      <c r="P96">
        <f t="shared" si="14"/>
        <v>154</v>
      </c>
      <c r="Q96" t="str">
        <f t="shared" si="15"/>
        <v>AGAGACAGGAGCCTTCGGTGGATGCAAGAGCCACATGACAAG</v>
      </c>
    </row>
    <row r="97" spans="1:17" x14ac:dyDescent="0.25">
      <c r="A97" t="s">
        <v>121</v>
      </c>
      <c r="F97" t="s">
        <v>148</v>
      </c>
      <c r="H97" t="str">
        <f t="shared" si="10"/>
        <v>chr9:132928674_:wt</v>
      </c>
      <c r="I97" t="s">
        <v>163</v>
      </c>
      <c r="J97" t="s">
        <v>146</v>
      </c>
      <c r="K97" t="s">
        <v>254</v>
      </c>
      <c r="L97" t="s">
        <v>255</v>
      </c>
      <c r="M97" t="str">
        <f t="shared" si="11"/>
        <v>AGAGACAGGAGCCTTCGGTGTCTAAAGAGAACCTCAATTCTGGTTAGCAAAATAATATCCTTTTTAGCTTATCTTCTAGAAAGAAGAGATTGACTTTAGAGCCACTAGAATCCTGCTGATACATTTTAGTTTTCAGGTAGGAGGATAGGCCAGG</v>
      </c>
      <c r="N97" t="str">
        <f t="shared" si="12"/>
        <v>CGGTG</v>
      </c>
      <c r="O97" t="str">
        <f t="shared" si="13"/>
        <v>TAAAG</v>
      </c>
      <c r="P97">
        <f t="shared" si="14"/>
        <v>154</v>
      </c>
      <c r="Q97" t="str">
        <f t="shared" si="15"/>
        <v>AGAGACAGGAGCCTTCGGTGTCTAAAGAGAACCTCAATTCTG</v>
      </c>
    </row>
    <row r="98" spans="1:17" x14ac:dyDescent="0.25">
      <c r="A98" t="s">
        <v>121</v>
      </c>
      <c r="B98" t="s">
        <v>102</v>
      </c>
      <c r="C98" t="s">
        <v>76</v>
      </c>
      <c r="D98" t="s">
        <v>258</v>
      </c>
      <c r="E98" t="s">
        <v>328</v>
      </c>
      <c r="F98" t="str">
        <f>RIGHT(C98,3)</f>
        <v>A&gt;C</v>
      </c>
      <c r="G98">
        <v>5</v>
      </c>
      <c r="H98" t="str">
        <f t="shared" si="10"/>
        <v>chr9:132928674_132928719-132928720:A&gt;C</v>
      </c>
      <c r="I98" t="s">
        <v>153</v>
      </c>
      <c r="J98" t="s">
        <v>246</v>
      </c>
      <c r="K98" t="s">
        <v>256</v>
      </c>
      <c r="L98" t="s">
        <v>255</v>
      </c>
      <c r="M98" t="str">
        <f t="shared" si="11"/>
        <v>AGAGACAGGAGCCTTCGGTGTATAAAGAGAACCTCAATTCTGGTTAGCAAAATAATATCCTTTTTAGCTTATCTTCTAGAAAGAAGAGCTTGACTTTAGAGCCACTAGAATCCTGCTGATACATTTTAGTTTTCAGGTAGGAGGATAGGCCAGG</v>
      </c>
      <c r="N98" t="str">
        <f t="shared" si="12"/>
        <v>CGGTG</v>
      </c>
      <c r="O98" t="str">
        <f t="shared" si="13"/>
        <v>TAAAG</v>
      </c>
      <c r="P98">
        <f t="shared" si="14"/>
        <v>154</v>
      </c>
      <c r="Q98" t="str">
        <f t="shared" si="15"/>
        <v>AGAGACAGGAGCCTTCGGTGTATAAAGAGAACCTCAATTCTG</v>
      </c>
    </row>
    <row r="99" spans="1:17" x14ac:dyDescent="0.25">
      <c r="A99" t="s">
        <v>121</v>
      </c>
      <c r="B99" t="s">
        <v>102</v>
      </c>
      <c r="C99" t="s">
        <v>77</v>
      </c>
      <c r="D99" t="s">
        <v>258</v>
      </c>
      <c r="E99" t="s">
        <v>329</v>
      </c>
      <c r="F99" t="str">
        <f>RIGHT(C99,3)</f>
        <v>A&gt;G</v>
      </c>
      <c r="G99">
        <v>5</v>
      </c>
      <c r="H99" t="str">
        <f t="shared" si="10"/>
        <v>chr9:132928674_132928751-132928752:A&gt;G</v>
      </c>
      <c r="I99" t="s">
        <v>154</v>
      </c>
      <c r="J99" t="s">
        <v>247</v>
      </c>
      <c r="K99" t="s">
        <v>256</v>
      </c>
      <c r="L99" t="s">
        <v>257</v>
      </c>
      <c r="M99" t="str">
        <f t="shared" si="11"/>
        <v>AGAGACAGGAGCCTTCGGTGAGTAAAGAGAACCTCAATTCTGGTTAGCAAAATAATGTCCTTTTTAGCTTATCTTCTAGAAAGAAGAGATTGACTTTAGAGCCACTAGAATCCTGCTGATACATTTTAGTTTTCAGGTAGGAGGATAGGCCAGG</v>
      </c>
      <c r="N99" t="str">
        <f t="shared" si="12"/>
        <v>CGGTG</v>
      </c>
      <c r="O99" t="str">
        <f t="shared" si="13"/>
        <v>TAAAG</v>
      </c>
      <c r="P99">
        <f t="shared" si="14"/>
        <v>154</v>
      </c>
      <c r="Q99" t="str">
        <f t="shared" si="15"/>
        <v>AGAGACAGGAGCCTTCGGTGAGTAAAGAGAACCTCAATTCTG</v>
      </c>
    </row>
    <row r="100" spans="1:17" x14ac:dyDescent="0.25">
      <c r="A100" t="s">
        <v>121</v>
      </c>
      <c r="B100" t="s">
        <v>102</v>
      </c>
      <c r="C100" t="s">
        <v>78</v>
      </c>
      <c r="D100" t="s">
        <v>258</v>
      </c>
      <c r="E100" t="s">
        <v>330</v>
      </c>
      <c r="F100" t="str">
        <f>RIGHT(C100,3)</f>
        <v>A&gt;G</v>
      </c>
      <c r="G100">
        <v>5</v>
      </c>
      <c r="H100" t="str">
        <f t="shared" si="10"/>
        <v>chr9:132928674_132928757-132928758:A&gt;G</v>
      </c>
      <c r="I100" t="s">
        <v>155</v>
      </c>
      <c r="J100" t="s">
        <v>248</v>
      </c>
      <c r="K100" t="s">
        <v>256</v>
      </c>
      <c r="L100" t="s">
        <v>255</v>
      </c>
      <c r="M100" t="str">
        <f t="shared" si="11"/>
        <v>AGAGACAGGAGCCTTCGGTGCATAAAGAGAACCTCAATTCTGGTTAGCAAGATAATATCCTTTTTAGCTTATCTTCTAGAAAGAAGAGATTGACTTTAGAGCCACTAGAATCCTGCTGATACATTTTAGTTTTCAGGTAGGAGGATAGGCCAGG</v>
      </c>
      <c r="N100" t="str">
        <f t="shared" si="12"/>
        <v>CGGTG</v>
      </c>
      <c r="O100" t="str">
        <f t="shared" si="13"/>
        <v>TAAAG</v>
      </c>
      <c r="P100">
        <f t="shared" si="14"/>
        <v>154</v>
      </c>
      <c r="Q100" t="str">
        <f t="shared" si="15"/>
        <v>AGAGACAGGAGCCTTCGGTGCATAAAGAGAACCTCAATTCTG</v>
      </c>
    </row>
    <row r="101" spans="1:17" x14ac:dyDescent="0.25">
      <c r="A101" t="s">
        <v>121</v>
      </c>
      <c r="B101" t="s">
        <v>102</v>
      </c>
      <c r="C101" t="s">
        <v>79</v>
      </c>
      <c r="D101" t="s">
        <v>258</v>
      </c>
      <c r="E101" t="s">
        <v>331</v>
      </c>
      <c r="F101" t="str">
        <f>RIGHT(C101,3)</f>
        <v>G&gt;A</v>
      </c>
      <c r="G101">
        <v>5</v>
      </c>
      <c r="H101" t="str">
        <f t="shared" si="10"/>
        <v>chr9:132928674_132928761-132928762:G&gt;A</v>
      </c>
      <c r="I101" t="s">
        <v>156</v>
      </c>
      <c r="J101" t="s">
        <v>249</v>
      </c>
      <c r="K101" t="s">
        <v>254</v>
      </c>
      <c r="L101" t="s">
        <v>255</v>
      </c>
      <c r="M101" t="str">
        <f t="shared" si="11"/>
        <v>AGAGACAGGAGCCTTCGGTGATTAAAGAGAACCTCAATTCTGGTTAACAAAATAATATCCTTTTTAGCTTATCTTCTAGAAAGAAGAGATTGACTTTAGAGCCACTAGAATCCTGCTGATACATTTTAGTTTTCAGGTAGGAGGATAGGCCAGG</v>
      </c>
      <c r="N101" t="str">
        <f t="shared" si="12"/>
        <v>CGGTG</v>
      </c>
      <c r="O101" t="str">
        <f t="shared" si="13"/>
        <v>TAAAG</v>
      </c>
      <c r="P101">
        <f t="shared" si="14"/>
        <v>154</v>
      </c>
      <c r="Q101" t="str">
        <f t="shared" si="15"/>
        <v>AGAGACAGGAGCCTTCGGTGATTAAAGAGAACCTCAATTCTG</v>
      </c>
    </row>
    <row r="102" spans="1:17" x14ac:dyDescent="0.25">
      <c r="A102" t="s">
        <v>121</v>
      </c>
      <c r="B102" t="s">
        <v>102</v>
      </c>
      <c r="C102" t="s">
        <v>80</v>
      </c>
      <c r="D102" t="s">
        <v>258</v>
      </c>
      <c r="E102" t="s">
        <v>332</v>
      </c>
      <c r="F102" t="str">
        <f>RIGHT(C102,3)</f>
        <v>T&gt;C</v>
      </c>
      <c r="G102">
        <v>5</v>
      </c>
      <c r="H102" t="str">
        <f t="shared" si="10"/>
        <v>chr9:132928674_132928764-132928765:T&gt;C</v>
      </c>
      <c r="I102" t="s">
        <v>338</v>
      </c>
      <c r="J102" t="s">
        <v>250</v>
      </c>
      <c r="K102" t="s">
        <v>256</v>
      </c>
      <c r="L102" t="s">
        <v>257</v>
      </c>
      <c r="M102" t="str">
        <f t="shared" si="11"/>
        <v>AGAGACAGGAGCCTTCGGTGTGTAAAGAGAACCTCAATTCTGGCTAGCAAAATAATATCCTTTTTAGCTTATCTTCTAGAAAGAAGAGATTGACTTTAGAGCCACTAGAATCCTGCTGATACATTTTAGTTTTCAGGTAGGAGGATAGGCCAGG</v>
      </c>
      <c r="N102" t="str">
        <f t="shared" si="12"/>
        <v>CGGTG</v>
      </c>
      <c r="O102" t="str">
        <f t="shared" si="13"/>
        <v>TAAAG</v>
      </c>
      <c r="P102">
        <f t="shared" si="14"/>
        <v>154</v>
      </c>
      <c r="Q102" t="str">
        <f t="shared" si="15"/>
        <v>AGAGACAGGAGCCTTCGGTGTGTAAAGAGAACCTCAATTCTG</v>
      </c>
    </row>
    <row r="103" spans="1:17" x14ac:dyDescent="0.25">
      <c r="A103" t="s">
        <v>122</v>
      </c>
      <c r="F103" t="s">
        <v>148</v>
      </c>
      <c r="H103" t="str">
        <f t="shared" si="10"/>
        <v>chr9:132944450_:wt</v>
      </c>
      <c r="I103" t="s">
        <v>157</v>
      </c>
      <c r="J103" t="s">
        <v>147</v>
      </c>
      <c r="K103" t="s">
        <v>254</v>
      </c>
      <c r="L103" t="s">
        <v>255</v>
      </c>
      <c r="M103" t="str">
        <f t="shared" si="11"/>
        <v>AGAGACAGGAGCCTTCGGTGCTTGAGGGGGAGGAGACGGTGGGTGAGTATGGGGGTGTCTCCCCCTCCTTTTTATGGGGGCTTCCTGGGGCAGCCCCGGCACCATGACTCCAGCCGGGGAGGCTCGGAGGGGCTAGGTAGGAGGATAGGCCAGG</v>
      </c>
      <c r="N103" t="str">
        <f t="shared" si="12"/>
        <v>CGGTG</v>
      </c>
      <c r="O103" t="str">
        <f t="shared" si="13"/>
        <v>TGAGG</v>
      </c>
      <c r="P103">
        <f t="shared" si="14"/>
        <v>154</v>
      </c>
      <c r="Q103" t="str">
        <f t="shared" si="15"/>
        <v>AGAGACAGGAGCCTTCGGTGCTTGAGGGGGAGGAGACGGTGG</v>
      </c>
    </row>
    <row r="104" spans="1:17" x14ac:dyDescent="0.25">
      <c r="A104" t="s">
        <v>122</v>
      </c>
      <c r="B104" t="s">
        <v>103</v>
      </c>
      <c r="C104" t="s">
        <v>81</v>
      </c>
      <c r="D104" t="s">
        <v>258</v>
      </c>
      <c r="E104" t="s">
        <v>333</v>
      </c>
      <c r="F104" t="str">
        <f>RIGHT(C104,3)</f>
        <v>C&gt;T</v>
      </c>
      <c r="G104">
        <v>3</v>
      </c>
      <c r="H104" t="str">
        <f t="shared" si="10"/>
        <v>chr9:132944450_132944525-132944526:C&gt;T</v>
      </c>
      <c r="I104" t="s">
        <v>158</v>
      </c>
      <c r="J104" t="s">
        <v>251</v>
      </c>
      <c r="K104" t="s">
        <v>254</v>
      </c>
      <c r="L104" t="s">
        <v>257</v>
      </c>
      <c r="M104" t="str">
        <f t="shared" si="11"/>
        <v>AGAGACAGGAGCCTTCGGTGGCTGAGGGGGAGGAGACGGTGGGTGAGTATGGGGGTGTTTCCCCCTCCTTTTTATGGGGGCTTCCTGGGGCAGCCCCGGCACCATGACTCCAGCCGGGGAGGCTCGGAGGGGCTAGGTAGGAGGATAGGCCAGG</v>
      </c>
      <c r="N104" t="str">
        <f t="shared" si="12"/>
        <v>CGGTG</v>
      </c>
      <c r="O104" t="str">
        <f t="shared" si="13"/>
        <v>TGAGG</v>
      </c>
      <c r="P104">
        <f t="shared" si="14"/>
        <v>154</v>
      </c>
      <c r="Q104" t="str">
        <f t="shared" si="15"/>
        <v>AGAGACAGGAGCCTTCGGTGGCTGAGGGGGAGGAGACGGTGG</v>
      </c>
    </row>
    <row r="105" spans="1:17" x14ac:dyDescent="0.25">
      <c r="A105" t="s">
        <v>122</v>
      </c>
      <c r="B105" t="s">
        <v>103</v>
      </c>
      <c r="C105" t="s">
        <v>82</v>
      </c>
      <c r="D105" t="s">
        <v>258</v>
      </c>
      <c r="E105" t="s">
        <v>334</v>
      </c>
      <c r="F105" t="str">
        <f>RIGHT(C105,3)</f>
        <v>G&gt;C</v>
      </c>
      <c r="G105">
        <v>3</v>
      </c>
      <c r="H105" t="str">
        <f t="shared" si="10"/>
        <v>chr9:132944450_132944533-132944534:G&gt;C</v>
      </c>
      <c r="I105" t="s">
        <v>159</v>
      </c>
      <c r="J105" t="s">
        <v>252</v>
      </c>
      <c r="K105" t="s">
        <v>254</v>
      </c>
      <c r="L105" t="s">
        <v>257</v>
      </c>
      <c r="M105" t="str">
        <f t="shared" si="11"/>
        <v>AGAGACAGGAGCCTTCGGTGACTGAGGGGGAGGAGACGGTGGGTGAGTATCGGGGTGTCTCCCCCTCCTTTTTATGGGGGCTTCCTGGGGCAGCCCCGGCACCATGACTCCAGCCGGGGAGGCTCGGAGGGGCTAGGTAGGAGGATAGGCCAGG</v>
      </c>
      <c r="N105" t="str">
        <f t="shared" si="12"/>
        <v>CGGTG</v>
      </c>
      <c r="O105" t="str">
        <f t="shared" si="13"/>
        <v>TGAGG</v>
      </c>
      <c r="P105">
        <f t="shared" si="14"/>
        <v>154</v>
      </c>
      <c r="Q105" t="str">
        <f t="shared" si="15"/>
        <v>AGAGACAGGAGCCTTCGGTGACTGAGGGGGAGGAGACGGTGG</v>
      </c>
    </row>
    <row r="106" spans="1:17" x14ac:dyDescent="0.25">
      <c r="A106" t="s">
        <v>122</v>
      </c>
      <c r="B106" t="s">
        <v>103</v>
      </c>
      <c r="C106" t="s">
        <v>83</v>
      </c>
      <c r="D106" t="s">
        <v>258</v>
      </c>
      <c r="E106" t="s">
        <v>335</v>
      </c>
      <c r="F106" t="str">
        <f>RIGHT(C106,3)</f>
        <v>A&gt;T</v>
      </c>
      <c r="G106">
        <v>3</v>
      </c>
      <c r="H106" t="str">
        <f t="shared" si="10"/>
        <v>chr9:132944450_132944535-132944536:A&gt;T</v>
      </c>
      <c r="I106" t="s">
        <v>160</v>
      </c>
      <c r="J106" t="s">
        <v>253</v>
      </c>
      <c r="K106" t="s">
        <v>254</v>
      </c>
      <c r="L106" t="s">
        <v>255</v>
      </c>
      <c r="M106" t="str">
        <f t="shared" si="11"/>
        <v>AGAGACAGGAGCCTTCGGTGCGTGAGGGGGAGGAGACGGTGGGTGAGTTTGGGGGTGTCTCCCCCTCCTTTTTATGGGGGCTTCCTGGGGCAGCCCCGGCACCATGACTCCAGCCGGGGAGGCTCGGAGGGGCTAGGTAGGAGGATAGGCCAGG</v>
      </c>
      <c r="N106" t="str">
        <f t="shared" si="12"/>
        <v>CGGTG</v>
      </c>
      <c r="O106" t="str">
        <f t="shared" si="13"/>
        <v>TGAGG</v>
      </c>
      <c r="P106">
        <f t="shared" si="14"/>
        <v>154</v>
      </c>
      <c r="Q106" t="str">
        <f t="shared" si="15"/>
        <v>AGAGACAGGAGCCTTCGGTGCGTGAGGGGGAGGAGACGGTGG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</dc:creator>
  <cp:lastModifiedBy>little</cp:lastModifiedBy>
  <dcterms:created xsi:type="dcterms:W3CDTF">2018-12-18T08:29:55Z</dcterms:created>
  <dcterms:modified xsi:type="dcterms:W3CDTF">2019-10-09T08:21:59Z</dcterms:modified>
</cp:coreProperties>
</file>