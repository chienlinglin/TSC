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ttle\Desktop\Dr. CLL\TSC mutant screening\Final sequence\5 ss\"/>
    </mc:Choice>
  </mc:AlternateContent>
  <bookViews>
    <workbookView xWindow="0" yWindow="0" windowWidth="13770" windowHeight="12150"/>
  </bookViews>
  <sheets>
    <sheet name="工作表1" sheetId="1" r:id="rId1"/>
  </sheets>
  <definedNames>
    <definedName name="_xlnm._FilterDatabase" localSheetId="0" hidden="1">工作表1!$N$1:$N$45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M2" i="1"/>
  <c r="L2" i="1"/>
  <c r="K2" i="1" l="1"/>
  <c r="N2" i="1" s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" i="1"/>
  <c r="K3" i="1"/>
  <c r="N3" i="1" s="1"/>
  <c r="K4" i="1"/>
  <c r="N4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N17" i="1" s="1"/>
  <c r="K18" i="1"/>
  <c r="N18" i="1" s="1"/>
  <c r="K19" i="1"/>
  <c r="N19" i="1" s="1"/>
  <c r="K20" i="1"/>
  <c r="N20" i="1" s="1"/>
  <c r="K21" i="1"/>
  <c r="N21" i="1" s="1"/>
  <c r="K22" i="1"/>
  <c r="N22" i="1" s="1"/>
  <c r="K23" i="1"/>
  <c r="N23" i="1" s="1"/>
  <c r="K24" i="1"/>
  <c r="N24" i="1" s="1"/>
  <c r="K25" i="1"/>
  <c r="N25" i="1" s="1"/>
  <c r="K26" i="1"/>
  <c r="N26" i="1" s="1"/>
  <c r="K27" i="1"/>
  <c r="N27" i="1" s="1"/>
  <c r="K28" i="1"/>
  <c r="N28" i="1" s="1"/>
  <c r="K29" i="1"/>
  <c r="N29" i="1" s="1"/>
  <c r="K30" i="1"/>
  <c r="N30" i="1" s="1"/>
  <c r="K31" i="1"/>
  <c r="N31" i="1" s="1"/>
  <c r="K32" i="1"/>
  <c r="N32" i="1" s="1"/>
  <c r="K33" i="1"/>
  <c r="N33" i="1" s="1"/>
  <c r="K34" i="1"/>
  <c r="N34" i="1" s="1"/>
  <c r="K35" i="1"/>
  <c r="N35" i="1" s="1"/>
  <c r="K36" i="1"/>
  <c r="N36" i="1" s="1"/>
  <c r="K37" i="1"/>
  <c r="N37" i="1" s="1"/>
  <c r="K38" i="1"/>
  <c r="N38" i="1" s="1"/>
  <c r="K39" i="1"/>
  <c r="N39" i="1" s="1"/>
  <c r="K40" i="1"/>
  <c r="N40" i="1" s="1"/>
  <c r="K41" i="1"/>
  <c r="N41" i="1" s="1"/>
  <c r="K42" i="1"/>
  <c r="N42" i="1" s="1"/>
  <c r="K43" i="1"/>
  <c r="N43" i="1" s="1"/>
  <c r="K44" i="1"/>
  <c r="N44" i="1" s="1"/>
  <c r="K45" i="1"/>
  <c r="N45" i="1" s="1"/>
</calcChain>
</file>

<file path=xl/sharedStrings.xml><?xml version="1.0" encoding="utf-8"?>
<sst xmlns="http://schemas.openxmlformats.org/spreadsheetml/2006/main" count="254" uniqueCount="139">
  <si>
    <t>V4</t>
  </si>
  <si>
    <t>ref_num</t>
    <phoneticPr fontId="1" type="noConversion"/>
  </si>
  <si>
    <t>F_priming</t>
    <phoneticPr fontId="1" type="noConversion"/>
  </si>
  <si>
    <t>V10</t>
  </si>
  <si>
    <t>Name</t>
    <phoneticPr fontId="1" type="noConversion"/>
  </si>
  <si>
    <t>Barcode</t>
    <phoneticPr fontId="1" type="noConversion"/>
  </si>
  <si>
    <t>wt_alt_112</t>
    <phoneticPr fontId="1" type="noConversion"/>
  </si>
  <si>
    <t>R_priming</t>
    <phoneticPr fontId="1" type="noConversion"/>
  </si>
  <si>
    <t>final_seq</t>
    <phoneticPr fontId="1" type="noConversion"/>
  </si>
  <si>
    <t>uc004cca.3_intron_2_0_chr9_132897611_r</t>
  </si>
  <si>
    <t>uc004cca.3_intron_16_0_chr9_132921974_r</t>
  </si>
  <si>
    <t>chr9:132900027-132900027:-&gt;A</t>
  </si>
  <si>
    <t>chr9:132900039-132900040:T&gt;G</t>
  </si>
  <si>
    <t>chr9:132900142-132900143:A&gt;G</t>
  </si>
  <si>
    <t>chr9:132900347-132900348:A&gt;G</t>
  </si>
  <si>
    <t>chr9:132922765-132922766:G&gt;A</t>
  </si>
  <si>
    <t>CTTAGAACTGGAGAGAGTAATTTTCCTATGGAGGAAGAGCCCCTGGCCTCACCTCCACCTCCGTCTCCGCCTGTCCCGCCCCCTTCCTCAGATGTGGGCTTGTGCCCTGGG</t>
  </si>
  <si>
    <t>TGTAGAGAGGAGTCTTAGAACTGGAGAGATGGAGGAAGAGCCCCTGGCCTCACCTCCACCTCCGTCTCCGCCTGTCCCGCCCCCTTCCTCAGATGTGGGCTTGTGCCCTGGG</t>
  </si>
  <si>
    <t>GTAGCTGTTCAGATACTTCCTGTCACTAATGGAGGAAGAGCCCCTGGCCTCACCTCCACCTCCGTCTCCGCCTGTCCCGCCCCCTTCCTCAGATGTGGGCTTGTGCCCTGGG</t>
  </si>
  <si>
    <t>ATAGAGTGCTGTACATACCATTTTTTTTTTGGAGGAAGAGCCCCTGGCCTCACCTCCACCTCCGTCTCCGCCTGTCCCGCCCCCTTCCTCAGATGTGGGCTTGTGCCCTGGG</t>
  </si>
  <si>
    <t>TTTCTATCAAAAGGGTGAAGTATGTCAGATGGAGGAAGAGCCCCTGGCCTCACCTCCACCTCCGTCTCCGCCTGTCCCGCCCCCTTCCTCAGATGTGGGCTTGTGCCCTGGG</t>
  </si>
  <si>
    <t>CTTAGAACTGGAGAAGAGTAATTTTCCTATGGAGGAAGAGCCCCTGGCCTCACCTCCACCTCCGTCTCCGCCTGTCCCGCCCCCTTCCTCAGATGTGGGCTTGTGCCCTGGG</t>
  </si>
  <si>
    <t>TGTAGAGAGGAGTCGTAGAACTGGAGAGATGGAGGAAGAGCCCCTGGCCTCACCTCCACCTCCGTCTCCGCCTGTCCCGCCCCCTTCCTCAGATGTGGGCTTGTGCCCTGGG</t>
  </si>
  <si>
    <t>GTAGCTGTTCAGATGCTTCCTGTCACTAATGGAGGAAGAGCCCCTGGCCTCACCTCCACCTCCGTCTCCGCCTGTCCCGCCCCCTTCCTCAGATGTGGGCTTGTGCCCTGGG</t>
  </si>
  <si>
    <t>ATAGAGTGCTGTACGTACCATTTTTTTTTTGGAGGAAGAGCCCCTGGCCTCACCTCCACCTCCGTCTCCGCCTGTCCCGCCCCCTTCCTCAGATGTGGGCTTGTGCCCTGGG</t>
  </si>
  <si>
    <t>TTTCTATCAAAAGGATGAAGTATGTCAGATGGAGGAAGAGCCCCTGGCCTCACCTCCACCTCCGTCTCCGCCTGTCCCGCCCCCTTCCTCAGATGTGGGCTTGTGCCCTGGG</t>
  </si>
  <si>
    <t>uc002con.4_intron_0_0_chr16_2048066_f</t>
  </si>
  <si>
    <t>uc002con.4_intron_3_0_chr16_2053453_f</t>
  </si>
  <si>
    <t>uc002con.4_intron_6_0_chr16_2056245_f</t>
  </si>
  <si>
    <t>uc002con.4_intron_8_0_chr16_2057179_f</t>
  </si>
  <si>
    <t>uc002con.4_intron_11_0_chr16_2062009_f</t>
  </si>
  <si>
    <t>uc002con.4_intron_13_0_chr16_2063054_f</t>
  </si>
  <si>
    <t>uc002con.4_intron_16_0_chr16_2070579_f</t>
  </si>
  <si>
    <t>uc002con.4_intron_21_0_chr16_2074390_f</t>
  </si>
  <si>
    <t>uc002con.4_intron_25_0_chr16_2077727_f</t>
  </si>
  <si>
    <t>uc002con.4_intron_29_0_chr16_2080378_f</t>
  </si>
  <si>
    <t>uc002con.4_intron_36_0_chr16_2086380_f</t>
  </si>
  <si>
    <t>chr16:2048203-2048204:T&gt;G</t>
  </si>
  <si>
    <t>chr16:2053552-2053553:G&gt;-</t>
  </si>
  <si>
    <t>chr16:2053648-2053649:C&gt;G</t>
  </si>
  <si>
    <t>chr16:2053680-2053681:C&gt;T</t>
  </si>
  <si>
    <t>chr16:2053684-2053685:T&gt;C</t>
  </si>
  <si>
    <t>chr16:2053828-2053829:T&gt;C</t>
  </si>
  <si>
    <t>chr16:2053836-2053837:C&gt;G</t>
  </si>
  <si>
    <t>chr16:2056360-2056361:C&gt;G</t>
  </si>
  <si>
    <t>chr16:2057458-2057459:C&gt;T</t>
  </si>
  <si>
    <t>chr16:2062115-2062115:-&gt;G</t>
  </si>
  <si>
    <t>chr16:2062228-2062234:AAGCTT&gt;-</t>
  </si>
  <si>
    <t>chr16:2063462-2063463:C&gt;T</t>
  </si>
  <si>
    <t>chr16:2070783-2070784:C&gt;T</t>
  </si>
  <si>
    <t>chr16:2074484-2074484:-&gt;G</t>
  </si>
  <si>
    <t>chr16:2077820-2077820:-&gt;ATC</t>
  </si>
  <si>
    <t>chr16:2080695-2080696:G&gt;A</t>
  </si>
  <si>
    <t>chr16:2086475-2086476:A&gt;-</t>
  </si>
  <si>
    <t>CGAGCATCCCTTAGTTTTAAGTCATGGCGTGGAGGAAGAGCCCCTGGCCTCACCTCCACCTCCGTCTCCGCCTGTCCCGCCCCCTTCCTCAGATGTGGGCTTGTGCCCTGGG</t>
  </si>
  <si>
    <t>CTCGGTGAGTTGCTGGGCACAGGGTCTAGTGGAGGAAGAGCCCCTGGCCTCACCTCCACCTCCGTCTCCGCCTGTCCCGCCCCCTTCCTCAGATGTGGGCTTGTGCCCTGGG</t>
  </si>
  <si>
    <t>AGGCACTGCCTCCTCGCCTGTAAACAGATTGGAGGAAGAGCCCCTGGCCTCACCTCCACCTCCGTCTCCGCCTGTCCCGCCCCCTTCCTCAGATGTGGGCTTGTGCCCTGGG</t>
  </si>
  <si>
    <t>CACTGCACCTTCCTCTTATGGGATGTTCTTGGAGGAAGAGCCCCTGGCCTCACCTCCACCTCCGTCTCCGCCTGTCCCGCCCCCTTCCTCAGATGTGGGCTTGTGCCCTGGG</t>
  </si>
  <si>
    <t>GCACCTTCCTCTTATGGGATGTTCTGGGGTGGAGGAAGAGCCCCTGGCCTCACCTCCACCTCCGTCTCCGCCTGTCCCGCCCCCTTCCTCAGATGTGGGCTTGTGCCCTGGG</t>
  </si>
  <si>
    <t>CATCTGTGCTGGTCTTGGCTGACCCTGAATGGAGGAAGAGCCCCTGGCCTCACCTCCACCTCCGTCTCCGCCTGTCCCGCCCCCTTCCTCAGATGTGGGCTTGTGCCCTGGG</t>
  </si>
  <si>
    <t>CTGGTCTTGGCTGACCCTGAACACCCAGGTGGAGGAAGAGCCCCTGGCCTCACCTCCACCTCCGTCTCCGCCTGTCCCGCCCCCTTCCTCAGATGTGGGCTTGTGCCCTGGG</t>
  </si>
  <si>
    <t>CTGGGCAAGCTGCTCGGTCTCTCTGAGCCTGGAGGAAGAGCCCCTGGCCTCACCTCCACCTCCGTCTCCGCCTGTCCCGCCCCCTTCCTCAGATGTGGGCTTGTGCCCTGGG</t>
  </si>
  <si>
    <t>AGCCTGTTACAAGGCGAGGCTCGGGGTCTTGGAGGAAGAGCCCCTGGCCTCACCTCCACCTCCGTCTCCGCCTGTCCCGCCCCCTTCCTCAGATGTGGGCTTGTGCCCTGGG</t>
  </si>
  <si>
    <t>AAGGGCCAGGTGGGCGCCTGCTTTCCAGTGGAGGAAGAGCCCCTGGCCTCACCTCCACCTCCGTCTCCGCCTGTCCCGCCCCCTTCCTCAGATGTGGGCTTGTGCCCTGGG</t>
  </si>
  <si>
    <t>CACCTGTGTGGAGCAAGCTTCCATCCGGCTCTGTTGGAGGAAGAGCCCCTGGCCTCACCTCCACCTCCGTCTCCGCCTGTCCCGCCCCCTTCCTCAGATGTGGGCTTGTGCCCTGGG</t>
  </si>
  <si>
    <t>CCTCTGCGGGCTCTCCCTCTCCACTCCCTTGGAGGAAGAGCCCCTGGCCTCACCTCCACCTCCGTCTCCGCCTGTCCCGCCCCCTTCCTCAGATGTGGGCTTGTGCCCTGGG</t>
  </si>
  <si>
    <t>TCTGTGGCTTGTCGCTCTAAGCCGCACGGTGGAGGAAGAGCCCCTGGCCTCACCTCCACCTCCGTCTCCGCCTGTCCCGCCCCCTTCCTCAGATGTGGGCTTGTGCCCTGGG</t>
  </si>
  <si>
    <t>AGGACTCCTTGGGGAACCTGGGTGTCTCTGGAGGAAGAGCCCCTGGCCTCACCTCCACCTCCGTCTCCGCCTGTCCCGCCCCCTTCCTCAGATGTGGGCTTGTGCCCTGGG</t>
  </si>
  <si>
    <t>TGCATGACCTCATCGTCTGCCCGTGTCCTGGAGGAAGAGCCCCTGGCCTCACCTCCACCTCCGTCTCCGCCTGTCCCGCCCCCTTCCTCAGATGTGGGCTTGTGCCCTGGG</t>
  </si>
  <si>
    <t>CACTGTGTTAGCCAGGATGGTCTCAATCTTGGAGGAAGAGCCCCTGGCCTCACCTCCACCTCCGTCTCCGCCTGTCCCGCCCCCTTCCTCAGATGTGGGCTTGTGCCCTGGG</t>
  </si>
  <si>
    <t>GGCATGGCCCTGGCACCCCCACCTGCTCCTGGAGGAAGAGCCCCTGGCCTCACCTCCACCTCCGTCTCCGCCTGTCCCGCCCCCTTCCTCAGATGTGGGCTTGTGCCCTGGG</t>
  </si>
  <si>
    <t>CGAGCATCCCTTAGGTTTAAGTCATGGCGTGGAGGAAGAGCCCCTGGCCTCACCTCCACCTCCGTCTCCGCCTGTCCCGCCCCCTTCCTCAGATGTGGGCTTGTGCCCTGGG</t>
  </si>
  <si>
    <t>CTCGGTGAGTTGCTGGCACAGGGTCTAGTGGAGGAAGAGCCCCTGGCCTCACCTCCACCTCCGTCTCCGCCTGTCCCGCCCCCTTCCTCAGATGTGGGCTTGTGCCCTGGG</t>
  </si>
  <si>
    <t>AGGCACTGCCTCCTGGCCTGTAAACAGATTGGAGGAAGAGCCCCTGGCCTCACCTCCACCTCCGTCTCCGCCTGTCCCGCCCCCTTCCTCAGATGTGGGCTTGTGCCCTGGG</t>
  </si>
  <si>
    <t>CACTGCACCTTCCTTTTATGGGATGTTCTTGGAGGAAGAGCCCCTGGCCTCACCTCCACCTCCGTCTCCGCCTGTCCCGCCCCCTTCCTCAGATGTGGGCTTGTGCCCTGGG</t>
  </si>
  <si>
    <t>GCACCTTCCTCTTACGGGATGTTCTGGGGTGGAGGAAGAGCCCCTGGCCTCACCTCCACCTCCGTCTCCGCCTGTCCCGCCCCCTTCCTCAGATGTGGGCTTGTGCCCTGGG</t>
  </si>
  <si>
    <t>CATCTGTGCTGGTCCTGGCTGACCCTGAATGGAGGAAGAGCCCCTGGCCTCACCTCCACCTCCGTCTCCGCCTGTCCCGCCCCCTTCCTCAGATGTGGGCTTGTGCCCTGGG</t>
  </si>
  <si>
    <t>CTGGTCTTGGCTGAGCCTGAACACCCAGGTGGAGGAAGAGCCCCTGGCCTCACCTCCACCTCCGTCTCCGCCTGTCCCGCCCCCTTCCTCAGATGTGGGCTTGTGCCCTGGG</t>
  </si>
  <si>
    <t>CTGGGCAAGCTGCTGGGTCTCTCTGAGCCTGGAGGAAGAGCCCCTGGCCTCACCTCCACCTCCGTCTCCGCCTGTCCCGCCCCCTTCCTCAGATGTGGGCTTGTGCCCTGGG</t>
  </si>
  <si>
    <t>AGCCTGTTACAAGGTGAGGCTCGGGGTCTTGGAGGAAGAGCCCCTGGCCTCACCTCCACCTCCGTCTCCGCCTGTCCCGCCCCCTTCCTCAGATGTGGGCTTGTGCCCTGGG</t>
  </si>
  <si>
    <t>AAGGGCCAGGTGGGGCGCCTGCTTTCCAGTGGAGGAAGAGCCCCTGGCCTCACCTCCACCTCCGTCTCCGCCTGTCCCGCCCCCTTCCTCAGATGTGGGCTTGTGCCCTGGG</t>
  </si>
  <si>
    <t>CACCTGTGTGGAGCCCATCCGGCTCTGTTGGAGGAAGAGCCCCTGGCCTCACCTCCACCTCCGTCTCCGCCTGTCCCGCCCCCTTCCTCAGATGTGGGCTTGTGCCCTGGG</t>
  </si>
  <si>
    <t>CCTCTGCGGGCTCTTCCTCTCCACTCCCTTGGAGGAAGAGCCCCTGGCCTCACCTCCACCTCCGTCTCCGCCTGTCCCGCCCCCTTCCTCAGATGTGGGCTTGTGCCCTGGG</t>
  </si>
  <si>
    <t>TCTGTGGCTTGTCGTTCTAAGCCGCACGGTGGAGGAAGAGCCCCTGGCCTCACCTCCACCTCCGTCTCCGCCTGTCCCGCCCCCTTCCTCAGATGTGGGCTTGTGCCCTGGG</t>
  </si>
  <si>
    <t>AGGACTCCTTGGGGGAACCTGGGTGTCTCTGGAGGAAGAGCCCCTGGCCTCACCTCCACCTCCGTCTCCGCCTGTCCCGCCCCCTTCCTCAGATGTGGGCTTGTGCCCTGGG</t>
  </si>
  <si>
    <t>TGCATGACCTCATCATCGTCTGCCCGTGTCCTGGAGGAAGAGCCCCTGGCCTCACCTCCACCTCCGTCTCCGCCTGTCCCGCCCCCTTCCTCAGATGTGGGCTTGTGCCCTGGG</t>
  </si>
  <si>
    <t>CACTGTGTTAGCCAAGATGGTCTCAATCTTGGAGGAAGAGCCCCTGGCCTCACCTCCACCTCCGTCTCCGCCTGTCCCGCCCCCTTCCTCAGATGTGGGCTTGTGCCCTGGG</t>
  </si>
  <si>
    <t>GGCATGGCCCTGGCCCCCCACCTGCTCCTGGAGGAAGAGCCCCTGGCCTCACCTCCACCTCCGTCTCCGCCTGTCCCGCCCCCTTCCTCAGATGTGGGCTTGTGCCCTGGG</t>
  </si>
  <si>
    <t>AGAGACAGGAGCCTTCGGTG</t>
    <phoneticPr fontId="1" type="noConversion"/>
  </si>
  <si>
    <t>AGGTAGGAGGATAGGCCAGG</t>
    <phoneticPr fontId="1" type="noConversion"/>
  </si>
  <si>
    <t>AGAGACAGGAGCCTTCGGTG</t>
    <phoneticPr fontId="1" type="noConversion"/>
  </si>
  <si>
    <t>AGGTAGGAGGATAGGCCAGG</t>
    <phoneticPr fontId="1" type="noConversion"/>
  </si>
  <si>
    <t>GGC</t>
  </si>
  <si>
    <t>CGT</t>
  </si>
  <si>
    <t>TCG</t>
  </si>
  <si>
    <t>ACT</t>
  </si>
  <si>
    <t>CGA</t>
  </si>
  <si>
    <t>GGA</t>
  </si>
  <si>
    <t>ATA</t>
  </si>
  <si>
    <t>GAT</t>
  </si>
  <si>
    <t>TCA</t>
  </si>
  <si>
    <t>TGC</t>
  </si>
  <si>
    <t>CTC</t>
  </si>
  <si>
    <t>TGT</t>
  </si>
  <si>
    <t>ACG</t>
  </si>
  <si>
    <t>CAG</t>
  </si>
  <si>
    <t>CTA</t>
  </si>
  <si>
    <t>GCT</t>
  </si>
  <si>
    <t>TAT</t>
  </si>
  <si>
    <t>GTG</t>
  </si>
  <si>
    <t>GCA</t>
  </si>
  <si>
    <t>AGA</t>
  </si>
  <si>
    <t>ESE check left</t>
    <phoneticPr fontId="1" type="noConversion"/>
  </si>
  <si>
    <t>right</t>
    <phoneticPr fontId="1" type="noConversion"/>
  </si>
  <si>
    <t>CAT</t>
  </si>
  <si>
    <t>AGT</t>
  </si>
  <si>
    <t>GTA</t>
  </si>
  <si>
    <t>AGC</t>
  </si>
  <si>
    <t>CTG</t>
  </si>
  <si>
    <t>ATC</t>
    <phoneticPr fontId="1" type="noConversion"/>
  </si>
  <si>
    <t>ATG</t>
  </si>
  <si>
    <t>CAC</t>
  </si>
  <si>
    <t>TAG</t>
  </si>
  <si>
    <t>GTC</t>
  </si>
  <si>
    <t>TAC</t>
  </si>
  <si>
    <t>GGT</t>
  </si>
  <si>
    <t>TCC</t>
  </si>
  <si>
    <t>AAT</t>
  </si>
  <si>
    <t>GGG</t>
  </si>
  <si>
    <t>ACC</t>
  </si>
  <si>
    <t>GCC</t>
  </si>
  <si>
    <t>CCT</t>
  </si>
  <si>
    <t>CCA</t>
    <phoneticPr fontId="1" type="noConversion"/>
  </si>
  <si>
    <t>TAA</t>
    <phoneticPr fontId="1" type="noConversion"/>
  </si>
  <si>
    <t>CCG</t>
    <phoneticPr fontId="1" type="noConversion"/>
  </si>
  <si>
    <t>TTC</t>
    <phoneticPr fontId="1" type="noConversion"/>
  </si>
  <si>
    <t>TGA</t>
    <phoneticPr fontId="1" type="noConversion"/>
  </si>
  <si>
    <t>GAG</t>
    <phoneticPr fontId="1" type="noConversion"/>
  </si>
  <si>
    <t>seq_len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</si>
</sst>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4" tint="-0.499984740745262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topLeftCell="A14" workbookViewId="0">
      <selection activeCell="F12" sqref="F12:F45"/>
    </sheetView>
  </sheetViews>
  <sheetFormatPr defaultRowHeight="16.5" x14ac:dyDescent="0.25"/>
  <cols>
    <col min="3" max="3" width="17.875" customWidth="1"/>
    <col min="6" max="6" width="41.25" customWidth="1"/>
    <col min="11" max="11" width="35.375" customWidth="1"/>
    <col min="12" max="12" width="11.75" customWidth="1"/>
  </cols>
  <sheetData>
    <row r="1" spans="1:15" x14ac:dyDescent="0.25">
      <c r="B1" t="s">
        <v>3</v>
      </c>
      <c r="C1" t="s">
        <v>0</v>
      </c>
      <c r="E1" t="s">
        <v>1</v>
      </c>
      <c r="F1" t="s">
        <v>4</v>
      </c>
      <c r="G1" t="s">
        <v>5</v>
      </c>
      <c r="H1" t="s">
        <v>6</v>
      </c>
      <c r="I1" t="s">
        <v>2</v>
      </c>
      <c r="J1" t="s">
        <v>7</v>
      </c>
      <c r="K1" t="s">
        <v>8</v>
      </c>
      <c r="L1" t="s">
        <v>112</v>
      </c>
      <c r="M1" t="s">
        <v>113</v>
      </c>
      <c r="N1" t="s">
        <v>138</v>
      </c>
    </row>
    <row r="2" spans="1:15" x14ac:dyDescent="0.25">
      <c r="A2">
        <v>132900013</v>
      </c>
      <c r="B2" t="s">
        <v>9</v>
      </c>
      <c r="F2" t="str">
        <f>(A2&amp;"_"&amp;C2)</f>
        <v>132900013_</v>
      </c>
      <c r="G2" s="1" t="s">
        <v>114</v>
      </c>
      <c r="H2" t="s">
        <v>16</v>
      </c>
      <c r="I2" t="s">
        <v>88</v>
      </c>
      <c r="J2" t="s">
        <v>89</v>
      </c>
      <c r="K2" t="str">
        <f>(I2&amp;G2&amp;H2&amp;J2)</f>
        <v>AGAGACAGGAGCCTTCGGTGCATCTTAGAACTGGAGAGAGTAATTTTCCTATGGAGGAAGAGCCCCTGGCCTCACCTCCACCTCCGTCTCCGCCTGTCCCGCCCCCTTCCTCAGATGTGGGCTTGTGCCCTGGGAGGTAGGAGGATAGGCCAGG</v>
      </c>
      <c r="L2" t="str">
        <f>RIGHT(I2,5)</f>
        <v>CGGTG</v>
      </c>
      <c r="M2" t="str">
        <f>LEFT(H2,5)</f>
        <v>CTTAG</v>
      </c>
      <c r="N2">
        <f>LEN(K2)</f>
        <v>154</v>
      </c>
      <c r="O2" t="str">
        <f>LEFT(K2,43)</f>
        <v>AGAGACAGGAGCCTTCGGTGCATCTTAGAACTGGAGAGAGTAA</v>
      </c>
    </row>
    <row r="3" spans="1:15" x14ac:dyDescent="0.25">
      <c r="A3">
        <v>132900013</v>
      </c>
      <c r="B3" t="s">
        <v>9</v>
      </c>
      <c r="C3" t="s">
        <v>11</v>
      </c>
      <c r="F3" t="str">
        <f t="shared" ref="F3:F45" si="0">(A3&amp;"_"&amp;C3)</f>
        <v>132900013_chr9:132900027-132900027:-&gt;A</v>
      </c>
      <c r="G3" s="1" t="s">
        <v>137</v>
      </c>
      <c r="H3" t="s">
        <v>21</v>
      </c>
      <c r="I3" t="s">
        <v>90</v>
      </c>
      <c r="J3" t="s">
        <v>89</v>
      </c>
      <c r="K3" t="str">
        <f t="shared" ref="K3:K41" si="1">(I3&amp;G3&amp;H3&amp;J3)</f>
        <v>AGAGACAGGAGCCTTCGGTGGAGCTTAGAACTGGAGAAGAGTAATTTTCCTATGGAGGAAGAGCCCCTGGCCTCACCTCCACCTCCGTCTCCGCCTGTCCCGCCCCCTTCCTCAGATGTGGGCTTGTGCCCTGGGAGGTAGGAGGATAGGCCAGG</v>
      </c>
      <c r="L3" t="str">
        <f t="shared" ref="L3:L45" si="2">RIGHT(I3,5)</f>
        <v>CGGTG</v>
      </c>
      <c r="M3" t="str">
        <f t="shared" ref="M3:M45" si="3">LEFT(H3,5)</f>
        <v>CTTAG</v>
      </c>
      <c r="N3">
        <f t="shared" ref="N3:N45" si="4">LEN(K3)</f>
        <v>155</v>
      </c>
      <c r="O3" t="str">
        <f t="shared" ref="O3:O45" si="5">LEFT(K3,43)</f>
        <v>AGAGACAGGAGCCTTCGGTGGAGCTTAGAACTGGAGAAGAGTA</v>
      </c>
    </row>
    <row r="4" spans="1:15" x14ac:dyDescent="0.25">
      <c r="A4">
        <v>132900025</v>
      </c>
      <c r="B4" t="s">
        <v>9</v>
      </c>
      <c r="F4" t="str">
        <f t="shared" si="0"/>
        <v>132900025_</v>
      </c>
      <c r="G4" s="1" t="s">
        <v>136</v>
      </c>
      <c r="H4" t="s">
        <v>17</v>
      </c>
      <c r="I4" t="s">
        <v>88</v>
      </c>
      <c r="J4" t="s">
        <v>91</v>
      </c>
      <c r="K4" t="str">
        <f t="shared" si="1"/>
        <v>AGAGACAGGAGCCTTCGGTGTGATGTAGAGAGGAGTCTTAGAACTGGAGAGATGGAGGAAGAGCCCCTGGCCTCACCTCCACCTCCGTCTCCGCCTGTCCCGCCCCCTTCCTCAGATGTGGGCTTGTGCCCTGGGAGGTAGGAGGATAGGCCAGG</v>
      </c>
      <c r="L4" t="str">
        <f t="shared" si="2"/>
        <v>CGGTG</v>
      </c>
      <c r="M4" t="str">
        <f t="shared" si="3"/>
        <v>TGTAG</v>
      </c>
      <c r="N4">
        <f t="shared" si="4"/>
        <v>155</v>
      </c>
      <c r="O4" t="str">
        <f t="shared" si="5"/>
        <v>AGAGACAGGAGCCTTCGGTGTGATGTAGAGAGGAGTCTTAGAA</v>
      </c>
    </row>
    <row r="5" spans="1:15" x14ac:dyDescent="0.25">
      <c r="A5">
        <v>132900025</v>
      </c>
      <c r="B5" t="s">
        <v>9</v>
      </c>
      <c r="C5" t="s">
        <v>12</v>
      </c>
      <c r="F5" t="str">
        <f t="shared" si="0"/>
        <v>132900025_chr9:132900039-132900040:T&gt;G</v>
      </c>
      <c r="G5" s="1" t="s">
        <v>93</v>
      </c>
      <c r="H5" t="s">
        <v>22</v>
      </c>
      <c r="I5" t="s">
        <v>88</v>
      </c>
      <c r="J5" t="s">
        <v>91</v>
      </c>
      <c r="K5" t="str">
        <f t="shared" si="1"/>
        <v>AGAGACAGGAGCCTTCGGTGCGTTGTAGAGAGGAGTCGTAGAACTGGAGAGATGGAGGAAGAGCCCCTGGCCTCACCTCCACCTCCGTCTCCGCCTGTCCCGCCCCCTTCCTCAGATGTGGGCTTGTGCCCTGGGAGGTAGGAGGATAGGCCAGG</v>
      </c>
      <c r="L5" t="str">
        <f t="shared" si="2"/>
        <v>CGGTG</v>
      </c>
      <c r="M5" t="str">
        <f t="shared" si="3"/>
        <v>TGTAG</v>
      </c>
      <c r="N5">
        <f t="shared" si="4"/>
        <v>155</v>
      </c>
      <c r="O5" t="str">
        <f t="shared" si="5"/>
        <v>AGAGACAGGAGCCTTCGGTGCGTTGTAGAGAGGAGTCGTAGAA</v>
      </c>
    </row>
    <row r="6" spans="1:15" x14ac:dyDescent="0.25">
      <c r="A6">
        <v>132900128</v>
      </c>
      <c r="B6" t="s">
        <v>9</v>
      </c>
      <c r="F6" t="str">
        <f t="shared" si="0"/>
        <v>132900128_</v>
      </c>
      <c r="G6" s="1" t="s">
        <v>94</v>
      </c>
      <c r="H6" t="s">
        <v>18</v>
      </c>
      <c r="I6" t="s">
        <v>88</v>
      </c>
      <c r="J6" t="s">
        <v>89</v>
      </c>
      <c r="K6" t="str">
        <f t="shared" si="1"/>
        <v>AGAGACAGGAGCCTTCGGTGTCGGTAGCTGTTCAGATACTTCCTGTCACTAATGGAGGAAGAGCCCCTGGCCTCACCTCCACCTCCGTCTCCGCCTGTCCCGCCCCCTTCCTCAGATGTGGGCTTGTGCCCTGGGAGGTAGGAGGATAGGCCAGG</v>
      </c>
      <c r="L6" t="str">
        <f t="shared" si="2"/>
        <v>CGGTG</v>
      </c>
      <c r="M6" t="str">
        <f t="shared" si="3"/>
        <v>GTAGC</v>
      </c>
      <c r="N6">
        <f t="shared" si="4"/>
        <v>155</v>
      </c>
      <c r="O6" t="str">
        <f t="shared" si="5"/>
        <v>AGAGACAGGAGCCTTCGGTGTCGGTAGCTGTTCAGATACTTCC</v>
      </c>
    </row>
    <row r="7" spans="1:15" x14ac:dyDescent="0.25">
      <c r="A7">
        <v>132900128</v>
      </c>
      <c r="B7" t="s">
        <v>9</v>
      </c>
      <c r="C7" t="s">
        <v>13</v>
      </c>
      <c r="F7" t="str">
        <f t="shared" si="0"/>
        <v>132900128_chr9:132900142-132900143:A&gt;G</v>
      </c>
      <c r="G7" s="1" t="s">
        <v>108</v>
      </c>
      <c r="H7" t="s">
        <v>23</v>
      </c>
      <c r="I7" t="s">
        <v>88</v>
      </c>
      <c r="J7" t="s">
        <v>91</v>
      </c>
      <c r="K7" t="str">
        <f t="shared" si="1"/>
        <v>AGAGACAGGAGCCTTCGGTGTATGTAGCTGTTCAGATGCTTCCTGTCACTAATGGAGGAAGAGCCCCTGGCCTCACCTCCACCTCCGTCTCCGCCTGTCCCGCCCCCTTCCTCAGATGTGGGCTTGTGCCCTGGGAGGTAGGAGGATAGGCCAGG</v>
      </c>
      <c r="L7" t="str">
        <f t="shared" si="2"/>
        <v>CGGTG</v>
      </c>
      <c r="M7" t="str">
        <f t="shared" si="3"/>
        <v>GTAGC</v>
      </c>
      <c r="N7">
        <f t="shared" si="4"/>
        <v>155</v>
      </c>
      <c r="O7" t="str">
        <f t="shared" si="5"/>
        <v>AGAGACAGGAGCCTTCGGTGTATGTAGCTGTTCAGATGCTTCC</v>
      </c>
    </row>
    <row r="8" spans="1:15" x14ac:dyDescent="0.25">
      <c r="A8">
        <v>132900333</v>
      </c>
      <c r="B8" t="s">
        <v>9</v>
      </c>
      <c r="F8" t="str">
        <f t="shared" si="0"/>
        <v>132900333_</v>
      </c>
      <c r="G8" s="1" t="s">
        <v>115</v>
      </c>
      <c r="H8" t="s">
        <v>19</v>
      </c>
      <c r="I8" t="s">
        <v>90</v>
      </c>
      <c r="J8" t="s">
        <v>91</v>
      </c>
      <c r="K8" t="str">
        <f t="shared" si="1"/>
        <v>AGAGACAGGAGCCTTCGGTGAGTATAGAGTGCTGTACATACCATTTTTTTTTTGGAGGAAGAGCCCCTGGCCTCACCTCCACCTCCGTCTCCGCCTGTCCCGCCCCCTTCCTCAGATGTGGGCTTGTGCCCTGGGAGGTAGGAGGATAGGCCAGG</v>
      </c>
      <c r="L8" t="str">
        <f t="shared" si="2"/>
        <v>CGGTG</v>
      </c>
      <c r="M8" t="str">
        <f t="shared" si="3"/>
        <v>ATAGA</v>
      </c>
      <c r="N8">
        <f t="shared" si="4"/>
        <v>155</v>
      </c>
      <c r="O8" t="str">
        <f t="shared" si="5"/>
        <v>AGAGACAGGAGCCTTCGGTGAGTATAGAGTGCTGTACATACCA</v>
      </c>
    </row>
    <row r="9" spans="1:15" x14ac:dyDescent="0.25">
      <c r="A9">
        <v>132900333</v>
      </c>
      <c r="B9" t="s">
        <v>9</v>
      </c>
      <c r="C9" t="s">
        <v>14</v>
      </c>
      <c r="F9" t="str">
        <f t="shared" si="0"/>
        <v>132900333_chr9:132900347-132900348:A&gt;G</v>
      </c>
      <c r="G9" s="1" t="s">
        <v>116</v>
      </c>
      <c r="H9" t="s">
        <v>24</v>
      </c>
      <c r="I9" t="s">
        <v>88</v>
      </c>
      <c r="J9" t="s">
        <v>89</v>
      </c>
      <c r="K9" t="str">
        <f t="shared" si="1"/>
        <v>AGAGACAGGAGCCTTCGGTGGTAATAGAGTGCTGTACGTACCATTTTTTTTTTGGAGGAAGAGCCCCTGGCCTCACCTCCACCTCCGTCTCCGCCTGTCCCGCCCCCTTCCTCAGATGTGGGCTTGTGCCCTGGGAGGTAGGAGGATAGGCCAGG</v>
      </c>
      <c r="L9" t="str">
        <f t="shared" si="2"/>
        <v>CGGTG</v>
      </c>
      <c r="M9" t="str">
        <f t="shared" si="3"/>
        <v>ATAGA</v>
      </c>
      <c r="N9">
        <f t="shared" si="4"/>
        <v>155</v>
      </c>
      <c r="O9" t="str">
        <f t="shared" si="5"/>
        <v>AGAGACAGGAGCCTTCGGTGGTAATAGAGTGCTGTACGTACCA</v>
      </c>
    </row>
    <row r="10" spans="1:15" x14ac:dyDescent="0.25">
      <c r="A10">
        <v>132922751</v>
      </c>
      <c r="B10" t="s">
        <v>10</v>
      </c>
      <c r="F10" t="str">
        <f t="shared" si="0"/>
        <v>132922751_</v>
      </c>
      <c r="G10" s="1" t="s">
        <v>98</v>
      </c>
      <c r="H10" t="s">
        <v>20</v>
      </c>
      <c r="I10" t="s">
        <v>90</v>
      </c>
      <c r="J10" t="s">
        <v>89</v>
      </c>
      <c r="K10" t="str">
        <f t="shared" si="1"/>
        <v>AGAGACAGGAGCCTTCGGTGATATTTCTATCAAAAGGGTGAAGTATGTCAGATGGAGGAAGAGCCCCTGGCCTCACCTCCACCTCCGTCTCCGCCTGTCCCGCCCCCTTCCTCAGATGTGGGCTTGTGCCCTGGGAGGTAGGAGGATAGGCCAGG</v>
      </c>
      <c r="L10" t="str">
        <f t="shared" si="2"/>
        <v>CGGTG</v>
      </c>
      <c r="M10" t="str">
        <f t="shared" si="3"/>
        <v>TTTCT</v>
      </c>
      <c r="N10">
        <f t="shared" si="4"/>
        <v>155</v>
      </c>
      <c r="O10" t="str">
        <f t="shared" si="5"/>
        <v>AGAGACAGGAGCCTTCGGTGATATTTCTATCAAAAGGGTGAAG</v>
      </c>
    </row>
    <row r="11" spans="1:15" x14ac:dyDescent="0.25">
      <c r="A11">
        <v>132922751</v>
      </c>
      <c r="B11" t="s">
        <v>10</v>
      </c>
      <c r="C11" t="s">
        <v>15</v>
      </c>
      <c r="F11" t="str">
        <f t="shared" si="0"/>
        <v>132922751_chr9:132922765-132922766:G&gt;A</v>
      </c>
      <c r="G11" s="1" t="s">
        <v>117</v>
      </c>
      <c r="H11" t="s">
        <v>25</v>
      </c>
      <c r="I11" t="s">
        <v>90</v>
      </c>
      <c r="J11" t="s">
        <v>89</v>
      </c>
      <c r="K11" t="str">
        <f t="shared" si="1"/>
        <v>AGAGACAGGAGCCTTCGGTGAGCTTTCTATCAAAAGGATGAAGTATGTCAGATGGAGGAAGAGCCCCTGGCCTCACCTCCACCTCCGTCTCCGCCTGTCCCGCCCCCTTCCTCAGATGTGGGCTTGTGCCCTGGGAGGTAGGAGGATAGGCCAGG</v>
      </c>
      <c r="L11" t="str">
        <f t="shared" si="2"/>
        <v>CGGTG</v>
      </c>
      <c r="M11" t="str">
        <f t="shared" si="3"/>
        <v>TTTCT</v>
      </c>
      <c r="N11">
        <f t="shared" si="4"/>
        <v>155</v>
      </c>
      <c r="O11" t="str">
        <f t="shared" si="5"/>
        <v>AGAGACAGGAGCCTTCGGTGAGCTTTCTATCAAAAGGATGAAG</v>
      </c>
    </row>
    <row r="12" spans="1:15" x14ac:dyDescent="0.25">
      <c r="A12">
        <v>2048189</v>
      </c>
      <c r="B12" t="s">
        <v>26</v>
      </c>
      <c r="F12" t="str">
        <f t="shared" si="0"/>
        <v>2048189_</v>
      </c>
      <c r="G12" s="1" t="s">
        <v>118</v>
      </c>
      <c r="H12" t="s">
        <v>54</v>
      </c>
      <c r="I12" t="s">
        <v>88</v>
      </c>
      <c r="J12" t="s">
        <v>91</v>
      </c>
      <c r="K12" t="str">
        <f t="shared" si="1"/>
        <v>AGAGACAGGAGCCTTCGGTGCTGCGAGCATCCCTTAGTTTTAAGTCATGGCGTGGAGGAAGAGCCCCTGGCCTCACCTCCACCTCCGTCTCCGCCTGTCCCGCCCCCTTCCTCAGATGTGGGCTTGTGCCCTGGGAGGTAGGAGGATAGGCCAGG</v>
      </c>
      <c r="L12" t="str">
        <f t="shared" si="2"/>
        <v>CGGTG</v>
      </c>
      <c r="M12" t="str">
        <f t="shared" si="3"/>
        <v>CGAGC</v>
      </c>
      <c r="N12">
        <f t="shared" si="4"/>
        <v>155</v>
      </c>
      <c r="O12" t="str">
        <f t="shared" si="5"/>
        <v>AGAGACAGGAGCCTTCGGTGCTGCGAGCATCCCTTAGTTTTAA</v>
      </c>
    </row>
    <row r="13" spans="1:15" x14ac:dyDescent="0.25">
      <c r="A13">
        <v>2048189</v>
      </c>
      <c r="B13" t="s">
        <v>26</v>
      </c>
      <c r="C13" t="s">
        <v>37</v>
      </c>
      <c r="F13" t="str">
        <f t="shared" si="0"/>
        <v>2048189_chr16:2048203-2048204:T&gt;G</v>
      </c>
      <c r="G13" s="1" t="s">
        <v>95</v>
      </c>
      <c r="H13" t="s">
        <v>71</v>
      </c>
      <c r="I13" t="s">
        <v>90</v>
      </c>
      <c r="J13" t="s">
        <v>89</v>
      </c>
      <c r="K13" t="str">
        <f t="shared" si="1"/>
        <v>AGAGACAGGAGCCTTCGGTGACTCGAGCATCCCTTAGGTTTAAGTCATGGCGTGGAGGAAGAGCCCCTGGCCTCACCTCCACCTCCGTCTCCGCCTGTCCCGCCCCCTTCCTCAGATGTGGGCTTGTGCCCTGGGAGGTAGGAGGATAGGCCAGG</v>
      </c>
      <c r="L13" t="str">
        <f t="shared" si="2"/>
        <v>CGGTG</v>
      </c>
      <c r="M13" t="str">
        <f t="shared" si="3"/>
        <v>CGAGC</v>
      </c>
      <c r="N13">
        <f t="shared" si="4"/>
        <v>155</v>
      </c>
      <c r="O13" t="str">
        <f t="shared" si="5"/>
        <v>AGAGACAGGAGCCTTCGGTGACTCGAGCATCCCTTAGGTTTAA</v>
      </c>
    </row>
    <row r="14" spans="1:15" x14ac:dyDescent="0.25">
      <c r="A14">
        <v>2053538</v>
      </c>
      <c r="B14" t="s">
        <v>27</v>
      </c>
      <c r="F14" t="str">
        <f t="shared" si="0"/>
        <v>2053538_</v>
      </c>
      <c r="G14" s="1" t="s">
        <v>110</v>
      </c>
      <c r="H14" t="s">
        <v>55</v>
      </c>
      <c r="I14" t="s">
        <v>90</v>
      </c>
      <c r="J14" t="s">
        <v>89</v>
      </c>
      <c r="K14" t="str">
        <f t="shared" si="1"/>
        <v>AGAGACAGGAGCCTTCGGTGGCACTCGGTGAGTTGCTGGGCACAGGGTCTAGTGGAGGAAGAGCCCCTGGCCTCACCTCCACCTCCGTCTCCGCCTGTCCCGCCCCCTTCCTCAGATGTGGGCTTGTGCCCTGGGAGGTAGGAGGATAGGCCAGG</v>
      </c>
      <c r="L14" t="str">
        <f t="shared" si="2"/>
        <v>CGGTG</v>
      </c>
      <c r="M14" t="str">
        <f t="shared" si="3"/>
        <v>CTCGG</v>
      </c>
      <c r="N14">
        <f t="shared" si="4"/>
        <v>155</v>
      </c>
      <c r="O14" t="str">
        <f t="shared" si="5"/>
        <v>AGAGACAGGAGCCTTCGGTGGCACTCGGTGAGTTGCTGGGCAC</v>
      </c>
    </row>
    <row r="15" spans="1:15" x14ac:dyDescent="0.25">
      <c r="A15">
        <v>2053538</v>
      </c>
      <c r="B15" t="s">
        <v>27</v>
      </c>
      <c r="C15" t="s">
        <v>38</v>
      </c>
      <c r="F15" t="str">
        <f t="shared" si="0"/>
        <v>2053538_chr16:2053552-2053553:G&gt;-</v>
      </c>
      <c r="G15" s="1" t="s">
        <v>96</v>
      </c>
      <c r="H15" t="s">
        <v>72</v>
      </c>
      <c r="I15" t="s">
        <v>90</v>
      </c>
      <c r="J15" t="s">
        <v>89</v>
      </c>
      <c r="K15" t="str">
        <f t="shared" si="1"/>
        <v>AGAGACAGGAGCCTTCGGTGCGACTCGGTGAGTTGCTGGCACAGGGTCTAGTGGAGGAAGAGCCCCTGGCCTCACCTCCACCTCCGTCTCCGCCTGTCCCGCCCCCTTCCTCAGATGTGGGCTTGTGCCCTGGGAGGTAGGAGGATAGGCCAGG</v>
      </c>
      <c r="L15" t="str">
        <f t="shared" si="2"/>
        <v>CGGTG</v>
      </c>
      <c r="M15" t="str">
        <f t="shared" si="3"/>
        <v>CTCGG</v>
      </c>
      <c r="N15">
        <f t="shared" si="4"/>
        <v>154</v>
      </c>
      <c r="O15" t="str">
        <f t="shared" si="5"/>
        <v>AGAGACAGGAGCCTTCGGTGCGACTCGGTGAGTTGCTGGCACA</v>
      </c>
    </row>
    <row r="16" spans="1:15" x14ac:dyDescent="0.25">
      <c r="A16">
        <v>2053634</v>
      </c>
      <c r="B16" t="s">
        <v>27</v>
      </c>
      <c r="F16" t="str">
        <f t="shared" si="0"/>
        <v>2053634_</v>
      </c>
      <c r="G16" s="1" t="s">
        <v>97</v>
      </c>
      <c r="H16" t="s">
        <v>56</v>
      </c>
      <c r="I16" t="s">
        <v>90</v>
      </c>
      <c r="J16" t="s">
        <v>89</v>
      </c>
      <c r="K16" t="str">
        <f t="shared" si="1"/>
        <v>AGAGACAGGAGCCTTCGGTGGGAAGGCACTGCCTCCTCGCCTGTAAACAGATTGGAGGAAGAGCCCCTGGCCTCACCTCCACCTCCGTCTCCGCCTGTCCCGCCCCCTTCCTCAGATGTGGGCTTGTGCCCTGGGAGGTAGGAGGATAGGCCAGG</v>
      </c>
      <c r="L16" t="str">
        <f t="shared" si="2"/>
        <v>CGGTG</v>
      </c>
      <c r="M16" t="str">
        <f t="shared" si="3"/>
        <v>AGGCA</v>
      </c>
      <c r="N16">
        <f t="shared" si="4"/>
        <v>155</v>
      </c>
      <c r="O16" t="str">
        <f t="shared" si="5"/>
        <v>AGAGACAGGAGCCTTCGGTGGGAAGGCACTGCCTCCTCGCCTG</v>
      </c>
    </row>
    <row r="17" spans="1:15" x14ac:dyDescent="0.25">
      <c r="A17">
        <v>2053634</v>
      </c>
      <c r="B17" t="s">
        <v>27</v>
      </c>
      <c r="C17" t="s">
        <v>39</v>
      </c>
      <c r="F17" t="str">
        <f t="shared" si="0"/>
        <v>2053634_chr16:2053648-2053649:C&gt;G</v>
      </c>
      <c r="G17" s="1" t="s">
        <v>99</v>
      </c>
      <c r="H17" t="s">
        <v>73</v>
      </c>
      <c r="I17" t="s">
        <v>90</v>
      </c>
      <c r="J17" t="s">
        <v>91</v>
      </c>
      <c r="K17" t="str">
        <f t="shared" si="1"/>
        <v>AGAGACAGGAGCCTTCGGTGGATAGGCACTGCCTCCTGGCCTGTAAACAGATTGGAGGAAGAGCCCCTGGCCTCACCTCCACCTCCGTCTCCGCCTGTCCCGCCCCCTTCCTCAGATGTGGGCTTGTGCCCTGGGAGGTAGGAGGATAGGCCAGG</v>
      </c>
      <c r="L17" t="str">
        <f t="shared" si="2"/>
        <v>CGGTG</v>
      </c>
      <c r="M17" t="str">
        <f t="shared" si="3"/>
        <v>AGGCA</v>
      </c>
      <c r="N17">
        <f t="shared" si="4"/>
        <v>155</v>
      </c>
      <c r="O17" t="str">
        <f t="shared" si="5"/>
        <v>AGAGACAGGAGCCTTCGGTGGATAGGCACTGCCTCCTGGCCTG</v>
      </c>
    </row>
    <row r="18" spans="1:15" x14ac:dyDescent="0.25">
      <c r="A18">
        <v>2053666</v>
      </c>
      <c r="B18" t="s">
        <v>27</v>
      </c>
      <c r="F18" t="str">
        <f t="shared" si="0"/>
        <v>2053666_</v>
      </c>
      <c r="G18" s="1" t="s">
        <v>101</v>
      </c>
      <c r="H18" t="s">
        <v>57</v>
      </c>
      <c r="I18" t="s">
        <v>88</v>
      </c>
      <c r="J18" t="s">
        <v>89</v>
      </c>
      <c r="K18" t="str">
        <f t="shared" si="1"/>
        <v>AGAGACAGGAGCCTTCGGTGTGCCACTGCACCTTCCTCTTATGGGATGTTCTTGGAGGAAGAGCCCCTGGCCTCACCTCCACCTCCGTCTCCGCCTGTCCCGCCCCCTTCCTCAGATGTGGGCTTGTGCCCTGGGAGGTAGGAGGATAGGCCAGG</v>
      </c>
      <c r="L18" t="str">
        <f t="shared" si="2"/>
        <v>CGGTG</v>
      </c>
      <c r="M18" t="str">
        <f t="shared" si="3"/>
        <v>CACTG</v>
      </c>
      <c r="N18">
        <f t="shared" si="4"/>
        <v>155</v>
      </c>
      <c r="O18" t="str">
        <f t="shared" si="5"/>
        <v>AGAGACAGGAGCCTTCGGTGTGCCACTGCACCTTCCTCTTATG</v>
      </c>
    </row>
    <row r="19" spans="1:15" x14ac:dyDescent="0.25">
      <c r="A19">
        <v>2053666</v>
      </c>
      <c r="B19" t="s">
        <v>27</v>
      </c>
      <c r="C19" t="s">
        <v>40</v>
      </c>
      <c r="F19" t="str">
        <f t="shared" si="0"/>
        <v>2053666_chr16:2053680-2053681:C&gt;T</v>
      </c>
      <c r="G19" s="1" t="s">
        <v>102</v>
      </c>
      <c r="H19" t="s">
        <v>74</v>
      </c>
      <c r="I19" t="s">
        <v>88</v>
      </c>
      <c r="J19" t="s">
        <v>89</v>
      </c>
      <c r="K19" t="str">
        <f t="shared" si="1"/>
        <v>AGAGACAGGAGCCTTCGGTGCTCCACTGCACCTTCCTTTTATGGGATGTTCTTGGAGGAAGAGCCCCTGGCCTCACCTCCACCTCCGTCTCCGCCTGTCCCGCCCCCTTCCTCAGATGTGGGCTTGTGCCCTGGGAGGTAGGAGGATAGGCCAGG</v>
      </c>
      <c r="L19" t="str">
        <f t="shared" si="2"/>
        <v>CGGTG</v>
      </c>
      <c r="M19" t="str">
        <f t="shared" si="3"/>
        <v>CACTG</v>
      </c>
      <c r="N19">
        <f t="shared" si="4"/>
        <v>155</v>
      </c>
      <c r="O19" t="str">
        <f t="shared" si="5"/>
        <v>AGAGACAGGAGCCTTCGGTGCTCCACTGCACCTTCCTTTTATG</v>
      </c>
    </row>
    <row r="20" spans="1:15" x14ac:dyDescent="0.25">
      <c r="A20">
        <v>2053670</v>
      </c>
      <c r="B20" t="s">
        <v>27</v>
      </c>
      <c r="F20" t="str">
        <f t="shared" si="0"/>
        <v>2053670_</v>
      </c>
      <c r="G20" s="1" t="s">
        <v>103</v>
      </c>
      <c r="H20" t="s">
        <v>58</v>
      </c>
      <c r="I20" t="s">
        <v>90</v>
      </c>
      <c r="J20" t="s">
        <v>91</v>
      </c>
      <c r="K20" t="str">
        <f t="shared" si="1"/>
        <v>AGAGACAGGAGCCTTCGGTGTGTGCACCTTCCTCTTATGGGATGTTCTGGGGTGGAGGAAGAGCCCCTGGCCTCACCTCCACCTCCGTCTCCGCCTGTCCCGCCCCCTTCCTCAGATGTGGGCTTGTGCCCTGGGAGGTAGGAGGATAGGCCAGG</v>
      </c>
      <c r="L20" t="str">
        <f t="shared" si="2"/>
        <v>CGGTG</v>
      </c>
      <c r="M20" t="str">
        <f t="shared" si="3"/>
        <v>GCACC</v>
      </c>
      <c r="N20">
        <f t="shared" si="4"/>
        <v>155</v>
      </c>
      <c r="O20" t="str">
        <f t="shared" si="5"/>
        <v>AGAGACAGGAGCCTTCGGTGTGTGCACCTTCCTCTTATGGGAT</v>
      </c>
    </row>
    <row r="21" spans="1:15" x14ac:dyDescent="0.25">
      <c r="A21">
        <v>2053670</v>
      </c>
      <c r="B21" t="s">
        <v>27</v>
      </c>
      <c r="C21" t="s">
        <v>41</v>
      </c>
      <c r="F21" t="str">
        <f t="shared" si="0"/>
        <v>2053670_chr16:2053684-2053685:T&gt;C</v>
      </c>
      <c r="G21" s="1" t="s">
        <v>104</v>
      </c>
      <c r="H21" t="s">
        <v>75</v>
      </c>
      <c r="I21" t="s">
        <v>90</v>
      </c>
      <c r="J21" t="s">
        <v>89</v>
      </c>
      <c r="K21" t="str">
        <f t="shared" si="1"/>
        <v>AGAGACAGGAGCCTTCGGTGACGGCACCTTCCTCTTACGGGATGTTCTGGGGTGGAGGAAGAGCCCCTGGCCTCACCTCCACCTCCGTCTCCGCCTGTCCCGCCCCCTTCCTCAGATGTGGGCTTGTGCCCTGGGAGGTAGGAGGATAGGCCAGG</v>
      </c>
      <c r="L21" t="str">
        <f t="shared" si="2"/>
        <v>CGGTG</v>
      </c>
      <c r="M21" t="str">
        <f t="shared" si="3"/>
        <v>GCACC</v>
      </c>
      <c r="N21">
        <f t="shared" si="4"/>
        <v>155</v>
      </c>
      <c r="O21" t="str">
        <f t="shared" si="5"/>
        <v>AGAGACAGGAGCCTTCGGTGACGGCACCTTCCTCTTACGGGAT</v>
      </c>
    </row>
    <row r="22" spans="1:15" x14ac:dyDescent="0.25">
      <c r="A22">
        <v>2053814</v>
      </c>
      <c r="B22" t="s">
        <v>27</v>
      </c>
      <c r="F22" t="str">
        <f t="shared" si="0"/>
        <v>2053814_</v>
      </c>
      <c r="G22" s="1" t="s">
        <v>100</v>
      </c>
      <c r="H22" t="s">
        <v>59</v>
      </c>
      <c r="I22" t="s">
        <v>90</v>
      </c>
      <c r="J22" t="s">
        <v>89</v>
      </c>
      <c r="K22" t="str">
        <f t="shared" si="1"/>
        <v>AGAGACAGGAGCCTTCGGTGTCACATCTGTGCTGGTCTTGGCTGACCCTGAATGGAGGAAGAGCCCCTGGCCTCACCTCCACCTCCGTCTCCGCCTGTCCCGCCCCCTTCCTCAGATGTGGGCTTGTGCCCTGGGAGGTAGGAGGATAGGCCAGG</v>
      </c>
      <c r="L22" t="str">
        <f t="shared" si="2"/>
        <v>CGGTG</v>
      </c>
      <c r="M22" t="str">
        <f t="shared" si="3"/>
        <v>CATCT</v>
      </c>
      <c r="N22">
        <f t="shared" si="4"/>
        <v>155</v>
      </c>
      <c r="O22" t="str">
        <f t="shared" si="5"/>
        <v>AGAGACAGGAGCCTTCGGTGTCACATCTGTGCTGGTCTTGGCT</v>
      </c>
    </row>
    <row r="23" spans="1:15" x14ac:dyDescent="0.25">
      <c r="A23">
        <v>2053814</v>
      </c>
      <c r="B23" t="s">
        <v>27</v>
      </c>
      <c r="C23" t="s">
        <v>42</v>
      </c>
      <c r="F23" t="str">
        <f t="shared" si="0"/>
        <v>2053814_chr16:2053828-2053829:T&gt;C</v>
      </c>
      <c r="G23" s="1" t="s">
        <v>119</v>
      </c>
      <c r="H23" t="s">
        <v>76</v>
      </c>
      <c r="I23" t="s">
        <v>90</v>
      </c>
      <c r="J23" t="s">
        <v>89</v>
      </c>
      <c r="K23" t="str">
        <f t="shared" si="1"/>
        <v>AGAGACAGGAGCCTTCGGTGATCCATCTGTGCTGGTCCTGGCTGACCCTGAATGGAGGAAGAGCCCCTGGCCTCACCTCCACCTCCGTCTCCGCCTGTCCCGCCCCCTTCCTCAGATGTGGGCTTGTGCCCTGGGAGGTAGGAGGATAGGCCAGG</v>
      </c>
      <c r="L23" t="str">
        <f t="shared" si="2"/>
        <v>CGGTG</v>
      </c>
      <c r="M23" t="str">
        <f t="shared" si="3"/>
        <v>CATCT</v>
      </c>
      <c r="N23">
        <f t="shared" si="4"/>
        <v>155</v>
      </c>
      <c r="O23" t="str">
        <f t="shared" si="5"/>
        <v>AGAGACAGGAGCCTTCGGTGATCCATCTGTGCTGGTCCTGGCT</v>
      </c>
    </row>
    <row r="24" spans="1:15" x14ac:dyDescent="0.25">
      <c r="A24">
        <v>2053822</v>
      </c>
      <c r="B24" t="s">
        <v>27</v>
      </c>
      <c r="F24" t="str">
        <f t="shared" si="0"/>
        <v>2053822_</v>
      </c>
      <c r="G24" s="1" t="s">
        <v>109</v>
      </c>
      <c r="H24" t="s">
        <v>60</v>
      </c>
      <c r="I24" t="s">
        <v>90</v>
      </c>
      <c r="J24" t="s">
        <v>89</v>
      </c>
      <c r="K24" t="str">
        <f t="shared" si="1"/>
        <v>AGAGACAGGAGCCTTCGGTGGTGCTGGTCTTGGCTGACCCTGAACACCCAGGTGGAGGAAGAGCCCCTGGCCTCACCTCCACCTCCGTCTCCGCCTGTCCCGCCCCCTTCCTCAGATGTGGGCTTGTGCCCTGGGAGGTAGGAGGATAGGCCAGG</v>
      </c>
      <c r="L24" t="str">
        <f t="shared" si="2"/>
        <v>CGGTG</v>
      </c>
      <c r="M24" t="str">
        <f t="shared" si="3"/>
        <v>CTGGT</v>
      </c>
      <c r="N24">
        <f t="shared" si="4"/>
        <v>155</v>
      </c>
      <c r="O24" t="str">
        <f t="shared" si="5"/>
        <v>AGAGACAGGAGCCTTCGGTGGTGCTGGTCTTGGCTGACCCTGA</v>
      </c>
    </row>
    <row r="25" spans="1:15" x14ac:dyDescent="0.25">
      <c r="A25">
        <v>2053822</v>
      </c>
      <c r="B25" t="s">
        <v>27</v>
      </c>
      <c r="C25" t="s">
        <v>43</v>
      </c>
      <c r="F25" t="str">
        <f t="shared" si="0"/>
        <v>2053822_chr16:2053836-2053837:C&gt;G</v>
      </c>
      <c r="G25" s="1" t="s">
        <v>105</v>
      </c>
      <c r="H25" t="s">
        <v>77</v>
      </c>
      <c r="I25" t="s">
        <v>88</v>
      </c>
      <c r="J25" t="s">
        <v>89</v>
      </c>
      <c r="K25" t="str">
        <f t="shared" si="1"/>
        <v>AGAGACAGGAGCCTTCGGTGCAGCTGGTCTTGGCTGAGCCTGAACACCCAGGTGGAGGAAGAGCCCCTGGCCTCACCTCCACCTCCGTCTCCGCCTGTCCCGCCCCCTTCCTCAGATGTGGGCTTGTGCCCTGGGAGGTAGGAGGATAGGCCAGG</v>
      </c>
      <c r="L25" t="str">
        <f t="shared" si="2"/>
        <v>CGGTG</v>
      </c>
      <c r="M25" t="str">
        <f t="shared" si="3"/>
        <v>CTGGT</v>
      </c>
      <c r="N25">
        <f t="shared" si="4"/>
        <v>155</v>
      </c>
      <c r="O25" t="str">
        <f t="shared" si="5"/>
        <v>AGAGACAGGAGCCTTCGGTGCAGCTGGTCTTGGCTGAGCCTGA</v>
      </c>
    </row>
    <row r="26" spans="1:15" x14ac:dyDescent="0.25">
      <c r="A26">
        <v>2056346</v>
      </c>
      <c r="B26" t="s">
        <v>28</v>
      </c>
      <c r="F26" t="str">
        <f t="shared" si="0"/>
        <v>2056346_</v>
      </c>
      <c r="G26" s="1" t="s">
        <v>106</v>
      </c>
      <c r="H26" t="s">
        <v>61</v>
      </c>
      <c r="I26" t="s">
        <v>90</v>
      </c>
      <c r="J26" t="s">
        <v>91</v>
      </c>
      <c r="K26" t="str">
        <f t="shared" si="1"/>
        <v>AGAGACAGGAGCCTTCGGTGCTACTGGGCAAGCTGCTCGGTCTCTCTGAGCCTGGAGGAAGAGCCCCTGGCCTCACCTCCACCTCCGTCTCCGCCTGTCCCGCCCCCTTCCTCAGATGTGGGCTTGTGCCCTGGGAGGTAGGAGGATAGGCCAGG</v>
      </c>
      <c r="L26" t="str">
        <f t="shared" si="2"/>
        <v>CGGTG</v>
      </c>
      <c r="M26" t="str">
        <f t="shared" si="3"/>
        <v>CTGGG</v>
      </c>
      <c r="N26">
        <f t="shared" si="4"/>
        <v>155</v>
      </c>
      <c r="O26" t="str">
        <f t="shared" si="5"/>
        <v>AGAGACAGGAGCCTTCGGTGCTACTGGGCAAGCTGCTCGGTCT</v>
      </c>
    </row>
    <row r="27" spans="1:15" x14ac:dyDescent="0.25">
      <c r="A27">
        <v>2056346</v>
      </c>
      <c r="B27" t="s">
        <v>28</v>
      </c>
      <c r="C27" t="s">
        <v>44</v>
      </c>
      <c r="F27" t="str">
        <f t="shared" si="0"/>
        <v>2056346_chr16:2056360-2056361:C&gt;G</v>
      </c>
      <c r="G27" s="1" t="s">
        <v>107</v>
      </c>
      <c r="H27" t="s">
        <v>78</v>
      </c>
      <c r="I27" t="s">
        <v>90</v>
      </c>
      <c r="J27" t="s">
        <v>91</v>
      </c>
      <c r="K27" t="str">
        <f t="shared" si="1"/>
        <v>AGAGACAGGAGCCTTCGGTGGCTCTGGGCAAGCTGCTGGGTCTCTCTGAGCCTGGAGGAAGAGCCCCTGGCCTCACCTCCACCTCCGTCTCCGCCTGTCCCGCCCCCTTCCTCAGATGTGGGCTTGTGCCCTGGGAGGTAGGAGGATAGGCCAGG</v>
      </c>
      <c r="L27" t="str">
        <f t="shared" si="2"/>
        <v>CGGTG</v>
      </c>
      <c r="M27" t="str">
        <f t="shared" si="3"/>
        <v>CTGGG</v>
      </c>
      <c r="N27">
        <f t="shared" si="4"/>
        <v>155</v>
      </c>
      <c r="O27" t="str">
        <f t="shared" si="5"/>
        <v>AGAGACAGGAGCCTTCGGTGGCTCTGGGCAAGCTGCTGGGTCT</v>
      </c>
    </row>
    <row r="28" spans="1:15" x14ac:dyDescent="0.25">
      <c r="A28">
        <v>2057444</v>
      </c>
      <c r="B28" t="s">
        <v>29</v>
      </c>
      <c r="F28" t="str">
        <f t="shared" si="0"/>
        <v>2057444_</v>
      </c>
      <c r="G28" s="1" t="s">
        <v>111</v>
      </c>
      <c r="H28" t="s">
        <v>62</v>
      </c>
      <c r="I28" t="s">
        <v>88</v>
      </c>
      <c r="J28" t="s">
        <v>91</v>
      </c>
      <c r="K28" t="str">
        <f t="shared" si="1"/>
        <v>AGAGACAGGAGCCTTCGGTGAGAAGCCTGTTACAAGGCGAGGCTCGGGGTCTTGGAGGAAGAGCCCCTGGCCTCACCTCCACCTCCGTCTCCGCCTGTCCCGCCCCCTTCCTCAGATGTGGGCTTGTGCCCTGGGAGGTAGGAGGATAGGCCAGG</v>
      </c>
      <c r="L28" t="str">
        <f t="shared" si="2"/>
        <v>CGGTG</v>
      </c>
      <c r="M28" t="str">
        <f t="shared" si="3"/>
        <v>AGCCT</v>
      </c>
      <c r="N28">
        <f t="shared" si="4"/>
        <v>155</v>
      </c>
      <c r="O28" t="str">
        <f t="shared" si="5"/>
        <v>AGAGACAGGAGCCTTCGGTGAGAAGCCTGTTACAAGGCGAGGC</v>
      </c>
    </row>
    <row r="29" spans="1:15" x14ac:dyDescent="0.25">
      <c r="A29">
        <v>2057444</v>
      </c>
      <c r="B29" t="s">
        <v>29</v>
      </c>
      <c r="C29" t="s">
        <v>45</v>
      </c>
      <c r="F29" t="str">
        <f t="shared" si="0"/>
        <v>2057444_chr16:2057458-2057459:C&gt;T</v>
      </c>
      <c r="G29" s="1" t="s">
        <v>120</v>
      </c>
      <c r="H29" t="s">
        <v>79</v>
      </c>
      <c r="I29" t="s">
        <v>88</v>
      </c>
      <c r="J29" t="s">
        <v>91</v>
      </c>
      <c r="K29" t="str">
        <f t="shared" si="1"/>
        <v>AGAGACAGGAGCCTTCGGTGATGAGCCTGTTACAAGGTGAGGCTCGGGGTCTTGGAGGAAGAGCCCCTGGCCTCACCTCCACCTCCGTCTCCGCCTGTCCCGCCCCCTTCCTCAGATGTGGGCTTGTGCCCTGGGAGGTAGGAGGATAGGCCAGG</v>
      </c>
      <c r="L29" t="str">
        <f t="shared" si="2"/>
        <v>CGGTG</v>
      </c>
      <c r="M29" t="str">
        <f t="shared" si="3"/>
        <v>AGCCT</v>
      </c>
      <c r="N29">
        <f t="shared" si="4"/>
        <v>155</v>
      </c>
      <c r="O29" t="str">
        <f t="shared" si="5"/>
        <v>AGAGACAGGAGCCTTCGGTGATGAGCCTGTTACAAGGTGAGGC</v>
      </c>
    </row>
    <row r="30" spans="1:15" x14ac:dyDescent="0.25">
      <c r="A30">
        <v>2062101</v>
      </c>
      <c r="B30" t="s">
        <v>30</v>
      </c>
      <c r="F30" t="str">
        <f t="shared" si="0"/>
        <v>2062101_</v>
      </c>
      <c r="G30" s="1" t="s">
        <v>121</v>
      </c>
      <c r="H30" t="s">
        <v>63</v>
      </c>
      <c r="I30" t="s">
        <v>90</v>
      </c>
      <c r="J30" t="s">
        <v>89</v>
      </c>
      <c r="K30" t="str">
        <f t="shared" si="1"/>
        <v>AGAGACAGGAGCCTTCGGTGCACAAGGGCCAGGTGGGCGCCTGCTTTCCAGTGGAGGAAGAGCCCCTGGCCTCACCTCCACCTCCGTCTCCGCCTGTCCCGCCCCCTTCCTCAGATGTGGGCTTGTGCCCTGGGAGGTAGGAGGATAGGCCAGG</v>
      </c>
      <c r="L30" t="str">
        <f t="shared" si="2"/>
        <v>CGGTG</v>
      </c>
      <c r="M30" t="str">
        <f t="shared" si="3"/>
        <v>AAGGG</v>
      </c>
      <c r="N30">
        <f t="shared" si="4"/>
        <v>154</v>
      </c>
      <c r="O30" t="str">
        <f t="shared" si="5"/>
        <v>AGAGACAGGAGCCTTCGGTGCACAAGGGCCAGGTGGGCGCCTG</v>
      </c>
    </row>
    <row r="31" spans="1:15" x14ac:dyDescent="0.25">
      <c r="A31">
        <v>2062101</v>
      </c>
      <c r="B31" t="s">
        <v>30</v>
      </c>
      <c r="C31" t="s">
        <v>46</v>
      </c>
      <c r="F31" t="str">
        <f t="shared" si="0"/>
        <v>2062101_chr16:2062115-2062115:-&gt;G</v>
      </c>
      <c r="G31" s="1" t="s">
        <v>122</v>
      </c>
      <c r="H31" t="s">
        <v>80</v>
      </c>
      <c r="I31" t="s">
        <v>88</v>
      </c>
      <c r="J31" t="s">
        <v>89</v>
      </c>
      <c r="K31" t="str">
        <f t="shared" si="1"/>
        <v>AGAGACAGGAGCCTTCGGTGTAGAAGGGCCAGGTGGGGCGCCTGCTTTCCAGTGGAGGAAGAGCCCCTGGCCTCACCTCCACCTCCGTCTCCGCCTGTCCCGCCCCCTTCCTCAGATGTGGGCTTGTGCCCTGGGAGGTAGGAGGATAGGCCAGG</v>
      </c>
      <c r="L31" t="str">
        <f t="shared" si="2"/>
        <v>CGGTG</v>
      </c>
      <c r="M31" t="str">
        <f t="shared" si="3"/>
        <v>AAGGG</v>
      </c>
      <c r="N31">
        <f t="shared" si="4"/>
        <v>155</v>
      </c>
      <c r="O31" t="str">
        <f t="shared" si="5"/>
        <v>AGAGACAGGAGCCTTCGGTGTAGAAGGGCCAGGTGGGGCGCCT</v>
      </c>
    </row>
    <row r="32" spans="1:15" x14ac:dyDescent="0.25">
      <c r="A32">
        <v>2062214</v>
      </c>
      <c r="B32" t="s">
        <v>30</v>
      </c>
      <c r="F32" t="str">
        <f t="shared" si="0"/>
        <v>2062214_</v>
      </c>
      <c r="G32" s="1" t="s">
        <v>123</v>
      </c>
      <c r="H32" t="s">
        <v>64</v>
      </c>
      <c r="I32" t="s">
        <v>88</v>
      </c>
      <c r="J32" t="s">
        <v>89</v>
      </c>
      <c r="K32" t="str">
        <f t="shared" si="1"/>
        <v>AGAGACAGGAGCCTTCGGTGGTCCACCTGTGTGGAGCAAGCTTCCATCCGGCTCTGTTGGAGGAAGAGCCCCTGGCCTCACCTCCACCTCCGTCTCCGCCTGTCCCGCCCCCTTCCTCAGATGTGGGCTTGTGCCCTGGGAGGTAGGAGGATAGGCCAGG</v>
      </c>
      <c r="L32" t="str">
        <f t="shared" si="2"/>
        <v>CGGTG</v>
      </c>
      <c r="M32" t="str">
        <f t="shared" si="3"/>
        <v>CACCT</v>
      </c>
      <c r="N32">
        <f t="shared" si="4"/>
        <v>160</v>
      </c>
      <c r="O32" t="str">
        <f t="shared" si="5"/>
        <v>AGAGACAGGAGCCTTCGGTGGTCCACCTGTGTGGAGCAAGCTT</v>
      </c>
    </row>
    <row r="33" spans="1:15" x14ac:dyDescent="0.25">
      <c r="A33">
        <v>2062214</v>
      </c>
      <c r="B33" t="s">
        <v>30</v>
      </c>
      <c r="C33" t="s">
        <v>47</v>
      </c>
      <c r="F33" t="str">
        <f t="shared" si="0"/>
        <v>2062214_chr16:2062228-2062234:AAGCTT&gt;-</v>
      </c>
      <c r="G33" s="1" t="s">
        <v>124</v>
      </c>
      <c r="H33" t="s">
        <v>81</v>
      </c>
      <c r="I33" t="s">
        <v>90</v>
      </c>
      <c r="J33" t="s">
        <v>91</v>
      </c>
      <c r="K33" t="str">
        <f t="shared" si="1"/>
        <v>AGAGACAGGAGCCTTCGGTGTACCACCTGTGTGGAGCCCATCCGGCTCTGTTGGAGGAAGAGCCCCTGGCCTCACCTCCACCTCCGTCTCCGCCTGTCCCGCCCCCTTCCTCAGATGTGGGCTTGTGCCCTGGGAGGTAGGAGGATAGGCCAGG</v>
      </c>
      <c r="L33" t="str">
        <f t="shared" si="2"/>
        <v>CGGTG</v>
      </c>
      <c r="M33" t="str">
        <f t="shared" si="3"/>
        <v>CACCT</v>
      </c>
      <c r="N33">
        <f t="shared" si="4"/>
        <v>154</v>
      </c>
      <c r="O33" t="str">
        <f t="shared" si="5"/>
        <v>AGAGACAGGAGCCTTCGGTGTACCACCTGTGTGGAGCCCATCC</v>
      </c>
    </row>
    <row r="34" spans="1:15" x14ac:dyDescent="0.25">
      <c r="A34">
        <v>2063448</v>
      </c>
      <c r="B34" t="s">
        <v>31</v>
      </c>
      <c r="F34" t="str">
        <f t="shared" si="0"/>
        <v>2063448_</v>
      </c>
      <c r="G34" t="s">
        <v>126</v>
      </c>
      <c r="H34" t="s">
        <v>65</v>
      </c>
      <c r="I34" t="s">
        <v>88</v>
      </c>
      <c r="J34" t="s">
        <v>91</v>
      </c>
      <c r="K34" t="str">
        <f t="shared" si="1"/>
        <v>AGAGACAGGAGCCTTCGGTGTCCCCTCTGCGGGCTCTCCCTCTCCACTCCCTTGGAGGAAGAGCCCCTGGCCTCACCTCCACCTCCGTCTCCGCCTGTCCCGCCCCCTTCCTCAGATGTGGGCTTGTGCCCTGGGAGGTAGGAGGATAGGCCAGG</v>
      </c>
      <c r="L34" t="str">
        <f t="shared" si="2"/>
        <v>CGGTG</v>
      </c>
      <c r="M34" t="str">
        <f t="shared" si="3"/>
        <v>CCTCT</v>
      </c>
      <c r="N34">
        <f t="shared" si="4"/>
        <v>155</v>
      </c>
      <c r="O34" t="str">
        <f t="shared" si="5"/>
        <v>AGAGACAGGAGCCTTCGGTGTCCCCTCTGCGGGCTCTCCCTCT</v>
      </c>
    </row>
    <row r="35" spans="1:15" x14ac:dyDescent="0.25">
      <c r="A35">
        <v>2063448</v>
      </c>
      <c r="B35" t="s">
        <v>31</v>
      </c>
      <c r="C35" t="s">
        <v>48</v>
      </c>
      <c r="F35" t="str">
        <f t="shared" si="0"/>
        <v>2063448_chr16:2063462-2063463:C&gt;T</v>
      </c>
      <c r="G35" t="s">
        <v>127</v>
      </c>
      <c r="H35" t="s">
        <v>82</v>
      </c>
      <c r="I35" t="s">
        <v>88</v>
      </c>
      <c r="J35" t="s">
        <v>89</v>
      </c>
      <c r="K35" t="str">
        <f t="shared" si="1"/>
        <v>AGAGACAGGAGCCTTCGGTGAATCCTCTGCGGGCTCTTCCTCTCCACTCCCTTGGAGGAAGAGCCCCTGGCCTCACCTCCACCTCCGTCTCCGCCTGTCCCGCCCCCTTCCTCAGATGTGGGCTTGTGCCCTGGGAGGTAGGAGGATAGGCCAGG</v>
      </c>
      <c r="L35" t="str">
        <f t="shared" si="2"/>
        <v>CGGTG</v>
      </c>
      <c r="M35" t="str">
        <f t="shared" si="3"/>
        <v>CCTCT</v>
      </c>
      <c r="N35">
        <f t="shared" si="4"/>
        <v>155</v>
      </c>
      <c r="O35" t="str">
        <f t="shared" si="5"/>
        <v>AGAGACAGGAGCCTTCGGTGAATCCTCTGCGGGCTCTTCCTCT</v>
      </c>
    </row>
    <row r="36" spans="1:15" x14ac:dyDescent="0.25">
      <c r="A36">
        <v>2070769</v>
      </c>
      <c r="B36" t="s">
        <v>32</v>
      </c>
      <c r="F36" t="str">
        <f t="shared" si="0"/>
        <v>2070769_</v>
      </c>
      <c r="G36" s="1" t="s">
        <v>132</v>
      </c>
      <c r="H36" t="s">
        <v>66</v>
      </c>
      <c r="I36" t="s">
        <v>88</v>
      </c>
      <c r="J36" t="s">
        <v>89</v>
      </c>
      <c r="K36" t="str">
        <f t="shared" si="1"/>
        <v>AGAGACAGGAGCCTTCGGTGCCATCTGTGGCTTGTCGCTCTAAGCCGCACGGTGGAGGAAGAGCCCCTGGCCTCACCTCCACCTCCGTCTCCGCCTGTCCCGCCCCCTTCCTCAGATGTGGGCTTGTGCCCTGGGAGGTAGGAGGATAGGCCAGG</v>
      </c>
      <c r="L36" t="str">
        <f t="shared" si="2"/>
        <v>CGGTG</v>
      </c>
      <c r="M36" t="str">
        <f t="shared" si="3"/>
        <v>TCTGT</v>
      </c>
      <c r="N36">
        <f t="shared" si="4"/>
        <v>155</v>
      </c>
      <c r="O36" t="str">
        <f t="shared" si="5"/>
        <v>AGAGACAGGAGCCTTCGGTGCCATCTGTGGCTTGTCGCTCTAA</v>
      </c>
    </row>
    <row r="37" spans="1:15" x14ac:dyDescent="0.25">
      <c r="A37">
        <v>2070769</v>
      </c>
      <c r="B37" t="s">
        <v>32</v>
      </c>
      <c r="C37" t="s">
        <v>49</v>
      </c>
      <c r="F37" t="str">
        <f t="shared" si="0"/>
        <v>2070769_chr16:2070783-2070784:C&gt;T</v>
      </c>
      <c r="G37" t="s">
        <v>125</v>
      </c>
      <c r="H37" t="s">
        <v>83</v>
      </c>
      <c r="I37" t="s">
        <v>88</v>
      </c>
      <c r="J37" t="s">
        <v>91</v>
      </c>
      <c r="K37" t="str">
        <f t="shared" si="1"/>
        <v>AGAGACAGGAGCCTTCGGTGGGTTCTGTGGCTTGTCGTTCTAAGCCGCACGGTGGAGGAAGAGCCCCTGGCCTCACCTCCACCTCCGTCTCCGCCTGTCCCGCCCCCTTCCTCAGATGTGGGCTTGTGCCCTGGGAGGTAGGAGGATAGGCCAGG</v>
      </c>
      <c r="L37" t="str">
        <f t="shared" si="2"/>
        <v>CGGTG</v>
      </c>
      <c r="M37" t="str">
        <f t="shared" si="3"/>
        <v>TCTGT</v>
      </c>
      <c r="N37">
        <f t="shared" si="4"/>
        <v>155</v>
      </c>
      <c r="O37" t="str">
        <f t="shared" si="5"/>
        <v>AGAGACAGGAGCCTTCGGTGGGTTCTGTGGCTTGTCGTTCTAA</v>
      </c>
    </row>
    <row r="38" spans="1:15" x14ac:dyDescent="0.25">
      <c r="A38">
        <v>2074470</v>
      </c>
      <c r="B38" t="s">
        <v>33</v>
      </c>
      <c r="F38" t="str">
        <f t="shared" si="0"/>
        <v>2074470_</v>
      </c>
      <c r="G38" t="s">
        <v>133</v>
      </c>
      <c r="H38" t="s">
        <v>67</v>
      </c>
      <c r="I38" t="s">
        <v>88</v>
      </c>
      <c r="J38" t="s">
        <v>89</v>
      </c>
      <c r="K38" t="str">
        <f t="shared" si="1"/>
        <v>AGAGACAGGAGCCTTCGGTGTAAAGGACTCCTTGGGGAACCTGGGTGTCTCTGGAGGAAGAGCCCCTGGCCTCACCTCCACCTCCGTCTCCGCCTGTCCCGCCCCCTTCCTCAGATGTGGGCTTGTGCCCTGGGAGGTAGGAGGATAGGCCAGG</v>
      </c>
      <c r="L38" t="str">
        <f t="shared" si="2"/>
        <v>CGGTG</v>
      </c>
      <c r="M38" t="str">
        <f t="shared" si="3"/>
        <v>AGGAC</v>
      </c>
      <c r="N38">
        <f t="shared" si="4"/>
        <v>154</v>
      </c>
      <c r="O38" t="str">
        <f t="shared" si="5"/>
        <v>AGAGACAGGAGCCTTCGGTGTAAAGGACTCCTTGGGGAACCTG</v>
      </c>
    </row>
    <row r="39" spans="1:15" x14ac:dyDescent="0.25">
      <c r="A39">
        <v>2074470</v>
      </c>
      <c r="B39" t="s">
        <v>33</v>
      </c>
      <c r="C39" t="s">
        <v>50</v>
      </c>
      <c r="F39" t="str">
        <f t="shared" si="0"/>
        <v>2074470_chr16:2074484-2074484:-&gt;G</v>
      </c>
      <c r="G39" s="2" t="s">
        <v>135</v>
      </c>
      <c r="H39" t="s">
        <v>84</v>
      </c>
      <c r="I39" t="s">
        <v>90</v>
      </c>
      <c r="J39" t="s">
        <v>89</v>
      </c>
      <c r="K39" t="str">
        <f>(I39&amp;G39&amp;H39&amp;J39)</f>
        <v>AGAGACAGGAGCCTTCGGTGTTCAGGACTCCTTGGGGGAACCTGGGTGTCTCTGGAGGAAGAGCCCCTGGCCTCACCTCCACCTCCGTCTCCGCCTGTCCCGCCCCCTTCCTCAGATGTGGGCTTGTGCCCTGGGAGGTAGGAGGATAGGCCAGG</v>
      </c>
      <c r="L39" t="str">
        <f t="shared" si="2"/>
        <v>CGGTG</v>
      </c>
      <c r="M39" t="str">
        <f t="shared" si="3"/>
        <v>AGGAC</v>
      </c>
      <c r="N39">
        <f t="shared" si="4"/>
        <v>155</v>
      </c>
      <c r="O39" t="str">
        <f t="shared" si="5"/>
        <v>AGAGACAGGAGCCTTCGGTGTTCAGGACTCCTTGGGGGAACCT</v>
      </c>
    </row>
    <row r="40" spans="1:15" x14ac:dyDescent="0.25">
      <c r="A40">
        <v>2077806</v>
      </c>
      <c r="B40" t="s">
        <v>34</v>
      </c>
      <c r="F40" t="str">
        <f t="shared" si="0"/>
        <v>2077806_</v>
      </c>
      <c r="G40" t="s">
        <v>134</v>
      </c>
      <c r="H40" t="s">
        <v>68</v>
      </c>
      <c r="I40" t="s">
        <v>90</v>
      </c>
      <c r="J40" t="s">
        <v>89</v>
      </c>
      <c r="K40" t="str">
        <f t="shared" si="1"/>
        <v>AGAGACAGGAGCCTTCGGTGCCGTGCATGACCTCATCGTCTGCCCGTGTCCTGGAGGAAGAGCCCCTGGCCTCACCTCCACCTCCGTCTCCGCCTGTCCCGCCCCCTTCCTCAGATGTGGGCTTGTGCCCTGGGAGGTAGGAGGATAGGCCAGG</v>
      </c>
      <c r="L40" t="str">
        <f t="shared" si="2"/>
        <v>CGGTG</v>
      </c>
      <c r="M40" t="str">
        <f t="shared" si="3"/>
        <v>TGCAT</v>
      </c>
      <c r="N40">
        <f t="shared" si="4"/>
        <v>154</v>
      </c>
      <c r="O40" t="str">
        <f t="shared" si="5"/>
        <v>AGAGACAGGAGCCTTCGGTGCCGTGCATGACCTCATCGTCTGC</v>
      </c>
    </row>
    <row r="41" spans="1:15" x14ac:dyDescent="0.25">
      <c r="A41">
        <v>2077806</v>
      </c>
      <c r="B41" t="s">
        <v>34</v>
      </c>
      <c r="C41" t="s">
        <v>51</v>
      </c>
      <c r="F41" t="str">
        <f t="shared" si="0"/>
        <v>2077806_chr16:2077820-2077820:-&gt;ATC</v>
      </c>
      <c r="G41" t="s">
        <v>128</v>
      </c>
      <c r="H41" t="s">
        <v>85</v>
      </c>
      <c r="I41" t="s">
        <v>88</v>
      </c>
      <c r="J41" t="s">
        <v>89</v>
      </c>
      <c r="K41" t="str">
        <f t="shared" si="1"/>
        <v>AGAGACAGGAGCCTTCGGTGGGGTGCATGACCTCATCATCGTCTGCCCGTGTCCTGGAGGAAGAGCCCCTGGCCTCACCTCCACCTCCGTCTCCGCCTGTCCCGCCCCCTTCCTCAGATGTGGGCTTGTGCCCTGGGAGGTAGGAGGATAGGCCAGG</v>
      </c>
      <c r="L41" t="str">
        <f t="shared" si="2"/>
        <v>CGGTG</v>
      </c>
      <c r="M41" t="str">
        <f t="shared" si="3"/>
        <v>TGCAT</v>
      </c>
      <c r="N41">
        <f t="shared" si="4"/>
        <v>157</v>
      </c>
      <c r="O41" t="str">
        <f t="shared" si="5"/>
        <v>AGAGACAGGAGCCTTCGGTGGGGTGCATGACCTCATCATCGTC</v>
      </c>
    </row>
    <row r="42" spans="1:15" x14ac:dyDescent="0.25">
      <c r="A42">
        <v>2080681</v>
      </c>
      <c r="B42" t="s">
        <v>35</v>
      </c>
      <c r="F42" t="str">
        <f t="shared" si="0"/>
        <v>2080681_</v>
      </c>
      <c r="G42" t="s">
        <v>131</v>
      </c>
      <c r="H42" t="s">
        <v>69</v>
      </c>
      <c r="I42" t="s">
        <v>88</v>
      </c>
      <c r="J42" t="s">
        <v>89</v>
      </c>
      <c r="K42" t="str">
        <f>(I42&amp;G44&amp;H42&amp;J42)</f>
        <v>AGAGACAGGAGCCTTCGGTGACCCACTGTGTTAGCCAGGATGGTCTCAATCTTGGAGGAAGAGCCCCTGGCCTCACCTCCACCTCCGTCTCCGCCTGTCCCGCCCCCTTCCTCAGATGTGGGCTTGTGCCCTGGGAGGTAGGAGGATAGGCCAGG</v>
      </c>
      <c r="L42" t="str">
        <f t="shared" si="2"/>
        <v>CGGTG</v>
      </c>
      <c r="M42" t="str">
        <f t="shared" si="3"/>
        <v>CACTG</v>
      </c>
      <c r="N42">
        <f t="shared" si="4"/>
        <v>155</v>
      </c>
      <c r="O42" t="str">
        <f t="shared" si="5"/>
        <v>AGAGACAGGAGCCTTCGGTGACCCACTGTGTTAGCCAGGATGG</v>
      </c>
    </row>
    <row r="43" spans="1:15" x14ac:dyDescent="0.25">
      <c r="A43">
        <v>2080681</v>
      </c>
      <c r="B43" t="s">
        <v>35</v>
      </c>
      <c r="C43" t="s">
        <v>52</v>
      </c>
      <c r="F43" t="str">
        <f t="shared" si="0"/>
        <v>2080681_chr16:2080695-2080696:G&gt;A</v>
      </c>
      <c r="G43" t="s">
        <v>92</v>
      </c>
      <c r="H43" t="s">
        <v>86</v>
      </c>
      <c r="I43" t="s">
        <v>90</v>
      </c>
      <c r="J43" t="s">
        <v>89</v>
      </c>
      <c r="K43" t="str">
        <f>(I43&amp;G45&amp;H43&amp;J43)</f>
        <v>AGAGACAGGAGCCTTCGGTGGCCCACTGTGTTAGCCAAGATGGTCTCAATCTTGGAGGAAGAGCCCCTGGCCTCACCTCCACCTCCGTCTCCGCCTGTCCCGCCCCCTTCCTCAGATGTGGGCTTGTGCCCTGGGAGGTAGGAGGATAGGCCAGG</v>
      </c>
      <c r="L43" t="str">
        <f t="shared" si="2"/>
        <v>CGGTG</v>
      </c>
      <c r="M43" t="str">
        <f t="shared" si="3"/>
        <v>CACTG</v>
      </c>
      <c r="N43">
        <f t="shared" si="4"/>
        <v>155</v>
      </c>
      <c r="O43" t="str">
        <f t="shared" si="5"/>
        <v>AGAGACAGGAGCCTTCGGTGGCCCACTGTGTTAGCCAAGATGG</v>
      </c>
    </row>
    <row r="44" spans="1:15" x14ac:dyDescent="0.25">
      <c r="A44">
        <v>2086461</v>
      </c>
      <c r="B44" t="s">
        <v>36</v>
      </c>
      <c r="F44" t="str">
        <f t="shared" si="0"/>
        <v>2086461_</v>
      </c>
      <c r="G44" t="s">
        <v>129</v>
      </c>
      <c r="H44" t="s">
        <v>70</v>
      </c>
      <c r="I44" t="s">
        <v>90</v>
      </c>
      <c r="J44" t="s">
        <v>89</v>
      </c>
      <c r="K44" t="str">
        <f>(I44&amp;G42&amp;H44&amp;J44)</f>
        <v>AGAGACAGGAGCCTTCGGTGCCTGGCATGGCCCTGGCACCCCCACCTGCTCCTGGAGGAAGAGCCCCTGGCCTCACCTCCACCTCCGTCTCCGCCTGTCCCGCCCCCTTCCTCAGATGTGGGCTTGTGCCCTGGGAGGTAGGAGGATAGGCCAGG</v>
      </c>
      <c r="L44" t="str">
        <f t="shared" si="2"/>
        <v>CGGTG</v>
      </c>
      <c r="M44" t="str">
        <f t="shared" si="3"/>
        <v>GGCAT</v>
      </c>
      <c r="N44">
        <f t="shared" si="4"/>
        <v>155</v>
      </c>
      <c r="O44" t="str">
        <f t="shared" si="5"/>
        <v>AGAGACAGGAGCCTTCGGTGCCTGGCATGGCCCTGGCACCCCC</v>
      </c>
    </row>
    <row r="45" spans="1:15" x14ac:dyDescent="0.25">
      <c r="A45">
        <v>2086461</v>
      </c>
      <c r="B45" t="s">
        <v>36</v>
      </c>
      <c r="C45" t="s">
        <v>53</v>
      </c>
      <c r="F45" t="str">
        <f t="shared" si="0"/>
        <v>2086461_chr16:2086475-2086476:A&gt;-</v>
      </c>
      <c r="G45" t="s">
        <v>130</v>
      </c>
      <c r="H45" t="s">
        <v>87</v>
      </c>
      <c r="I45" t="s">
        <v>90</v>
      </c>
      <c r="J45" t="s">
        <v>91</v>
      </c>
      <c r="K45" t="str">
        <f>(I45&amp;G43&amp;H45&amp;J45)</f>
        <v>AGAGACAGGAGCCTTCGGTGGGCGGCATGGCCCTGGCCCCCCACCTGCTCCTGGAGGAAGAGCCCCTGGCCTCACCTCCACCTCCGTCTCCGCCTGTCCCGCCCCCTTCCTCAGATGTGGGCTTGTGCCCTGGGAGGTAGGAGGATAGGCCAGG</v>
      </c>
      <c r="L45" t="str">
        <f t="shared" si="2"/>
        <v>CGGTG</v>
      </c>
      <c r="M45" t="str">
        <f t="shared" si="3"/>
        <v>GGCAT</v>
      </c>
      <c r="N45">
        <f t="shared" si="4"/>
        <v>154</v>
      </c>
      <c r="O45" t="str">
        <f t="shared" si="5"/>
        <v>AGAGACAGGAGCCTTCGGTGGGCGGCATGGCCCTGGCCCCCCA</v>
      </c>
    </row>
  </sheetData>
  <sortState ref="A12:H45">
    <sortCondition ref="A12:A4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</dc:creator>
  <cp:lastModifiedBy>little</cp:lastModifiedBy>
  <dcterms:created xsi:type="dcterms:W3CDTF">2018-12-20T07:34:05Z</dcterms:created>
  <dcterms:modified xsi:type="dcterms:W3CDTF">2019-10-09T07:52:36Z</dcterms:modified>
</cp:coreProperties>
</file>