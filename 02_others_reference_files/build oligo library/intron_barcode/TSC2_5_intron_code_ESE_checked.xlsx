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ttle\Desktop\Dr. CLL\TSC mutant screening\Final sequence\5 ss\"/>
    </mc:Choice>
  </mc:AlternateContent>
  <bookViews>
    <workbookView xWindow="0" yWindow="0" windowWidth="28800" windowHeight="12285"/>
  </bookViews>
  <sheets>
    <sheet name="工作表1" sheetId="1" r:id="rId1"/>
  </sheets>
  <definedNames>
    <definedName name="_xlnm._FilterDatabase" localSheetId="0" hidden="1">工作表1!$O$1:$O$485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2" i="1"/>
  <c r="F372" i="1" l="1"/>
  <c r="M161" i="1"/>
  <c r="E97" i="1" l="1"/>
  <c r="E98" i="1"/>
  <c r="E99" i="1"/>
  <c r="E100" i="1"/>
  <c r="E101" i="1"/>
  <c r="E102" i="1"/>
  <c r="E103" i="1"/>
  <c r="E104" i="1"/>
  <c r="E105" i="1"/>
  <c r="E106" i="1"/>
  <c r="E107" i="1"/>
  <c r="E10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K2" i="1"/>
  <c r="M2" i="1"/>
  <c r="L2" i="1"/>
  <c r="N2" i="1" l="1"/>
  <c r="P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N472" i="1" l="1"/>
  <c r="P472" i="1"/>
  <c r="N464" i="1"/>
  <c r="P464" i="1"/>
  <c r="N456" i="1"/>
  <c r="P456" i="1"/>
  <c r="N416" i="1"/>
  <c r="P416" i="1"/>
  <c r="N408" i="1"/>
  <c r="P408" i="1"/>
  <c r="N400" i="1"/>
  <c r="P400" i="1"/>
  <c r="N392" i="1"/>
  <c r="P392" i="1"/>
  <c r="N384" i="1"/>
  <c r="P384" i="1"/>
  <c r="N376" i="1"/>
  <c r="P376" i="1"/>
  <c r="N340" i="1"/>
  <c r="P340" i="1"/>
  <c r="N280" i="1"/>
  <c r="P280" i="1"/>
  <c r="N268" i="1"/>
  <c r="P268" i="1"/>
  <c r="N256" i="1"/>
  <c r="P256" i="1"/>
  <c r="N244" i="1"/>
  <c r="P244" i="1"/>
  <c r="N208" i="1"/>
  <c r="P208" i="1"/>
  <c r="N200" i="1"/>
  <c r="P200" i="1"/>
  <c r="N160" i="1"/>
  <c r="P160" i="1"/>
  <c r="N120" i="1"/>
  <c r="P120" i="1"/>
  <c r="N108" i="1"/>
  <c r="P108" i="1"/>
  <c r="N80" i="1"/>
  <c r="P80" i="1"/>
  <c r="N475" i="1"/>
  <c r="P475" i="1"/>
  <c r="N471" i="1"/>
  <c r="P471" i="1"/>
  <c r="N467" i="1"/>
  <c r="P467" i="1"/>
  <c r="N463" i="1"/>
  <c r="P463" i="1"/>
  <c r="N459" i="1"/>
  <c r="P459" i="1"/>
  <c r="N455" i="1"/>
  <c r="P455" i="1"/>
  <c r="N423" i="1"/>
  <c r="P423" i="1"/>
  <c r="N419" i="1"/>
  <c r="P419" i="1"/>
  <c r="N415" i="1"/>
  <c r="P415" i="1"/>
  <c r="N411" i="1"/>
  <c r="P411" i="1"/>
  <c r="N407" i="1"/>
  <c r="P407" i="1"/>
  <c r="N403" i="1"/>
  <c r="P403" i="1"/>
  <c r="N399" i="1"/>
  <c r="P399" i="1"/>
  <c r="N395" i="1"/>
  <c r="P395" i="1"/>
  <c r="N391" i="1"/>
  <c r="P391" i="1"/>
  <c r="N387" i="1"/>
  <c r="P387" i="1"/>
  <c r="N383" i="1"/>
  <c r="P383" i="1"/>
  <c r="N379" i="1"/>
  <c r="P379" i="1"/>
  <c r="N375" i="1"/>
  <c r="P375" i="1"/>
  <c r="N371" i="1"/>
  <c r="P371" i="1"/>
  <c r="N343" i="1"/>
  <c r="P343" i="1"/>
  <c r="N339" i="1"/>
  <c r="P339" i="1"/>
  <c r="N335" i="1"/>
  <c r="P335" i="1"/>
  <c r="N287" i="1"/>
  <c r="P287" i="1"/>
  <c r="N283" i="1"/>
  <c r="P283" i="1"/>
  <c r="N279" i="1"/>
  <c r="P279" i="1"/>
  <c r="N275" i="1"/>
  <c r="P275" i="1"/>
  <c r="N271" i="1"/>
  <c r="P271" i="1"/>
  <c r="N267" i="1"/>
  <c r="P267" i="1"/>
  <c r="N263" i="1"/>
  <c r="P263" i="1"/>
  <c r="N259" i="1"/>
  <c r="P259" i="1"/>
  <c r="N255" i="1"/>
  <c r="P255" i="1"/>
  <c r="N251" i="1"/>
  <c r="P251" i="1"/>
  <c r="N247" i="1"/>
  <c r="P247" i="1"/>
  <c r="N219" i="1"/>
  <c r="P219" i="1"/>
  <c r="N215" i="1"/>
  <c r="P215" i="1"/>
  <c r="N211" i="1"/>
  <c r="P211" i="1"/>
  <c r="N207" i="1"/>
  <c r="P207" i="1"/>
  <c r="N203" i="1"/>
  <c r="P203" i="1"/>
  <c r="N199" i="1"/>
  <c r="P199" i="1"/>
  <c r="N195" i="1"/>
  <c r="P195" i="1"/>
  <c r="N167" i="1"/>
  <c r="P167" i="1"/>
  <c r="N163" i="1"/>
  <c r="P163" i="1"/>
  <c r="N159" i="1"/>
  <c r="P159" i="1"/>
  <c r="N131" i="1"/>
  <c r="P131" i="1"/>
  <c r="N127" i="1"/>
  <c r="P127" i="1"/>
  <c r="N123" i="1"/>
  <c r="P123" i="1"/>
  <c r="N119" i="1"/>
  <c r="P119" i="1"/>
  <c r="N107" i="1"/>
  <c r="P107" i="1"/>
  <c r="N103" i="1"/>
  <c r="P103" i="1"/>
  <c r="N99" i="1"/>
  <c r="P99" i="1"/>
  <c r="N83" i="1"/>
  <c r="P83" i="1"/>
  <c r="N79" i="1"/>
  <c r="P79" i="1"/>
  <c r="N75" i="1"/>
  <c r="P75" i="1"/>
  <c r="N468" i="1"/>
  <c r="P468" i="1"/>
  <c r="N460" i="1"/>
  <c r="P460" i="1"/>
  <c r="N424" i="1"/>
  <c r="P424" i="1"/>
  <c r="N420" i="1"/>
  <c r="P420" i="1"/>
  <c r="N412" i="1"/>
  <c r="P412" i="1"/>
  <c r="N404" i="1"/>
  <c r="P404" i="1"/>
  <c r="N396" i="1"/>
  <c r="P396" i="1"/>
  <c r="N388" i="1"/>
  <c r="P388" i="1"/>
  <c r="N380" i="1"/>
  <c r="P380" i="1"/>
  <c r="N372" i="1"/>
  <c r="P372" i="1"/>
  <c r="N344" i="1"/>
  <c r="P344" i="1"/>
  <c r="N276" i="1"/>
  <c r="P276" i="1"/>
  <c r="N264" i="1"/>
  <c r="P264" i="1"/>
  <c r="N248" i="1"/>
  <c r="P248" i="1"/>
  <c r="N216" i="1"/>
  <c r="P216" i="1"/>
  <c r="N204" i="1"/>
  <c r="P204" i="1"/>
  <c r="N164" i="1"/>
  <c r="P164" i="1"/>
  <c r="N128" i="1"/>
  <c r="P128" i="1"/>
  <c r="N100" i="1"/>
  <c r="P100" i="1"/>
  <c r="N474" i="1"/>
  <c r="P474" i="1"/>
  <c r="N462" i="1"/>
  <c r="P462" i="1"/>
  <c r="N454" i="1"/>
  <c r="P454" i="1"/>
  <c r="N422" i="1"/>
  <c r="P422" i="1"/>
  <c r="N418" i="1"/>
  <c r="P418" i="1"/>
  <c r="N414" i="1"/>
  <c r="P414" i="1"/>
  <c r="N410" i="1"/>
  <c r="P410" i="1"/>
  <c r="N406" i="1"/>
  <c r="P406" i="1"/>
  <c r="N402" i="1"/>
  <c r="P402" i="1"/>
  <c r="N398" i="1"/>
  <c r="P398" i="1"/>
  <c r="N394" i="1"/>
  <c r="P394" i="1"/>
  <c r="N390" i="1"/>
  <c r="P390" i="1"/>
  <c r="N386" i="1"/>
  <c r="P386" i="1"/>
  <c r="N382" i="1"/>
  <c r="P382" i="1"/>
  <c r="N378" i="1"/>
  <c r="P378" i="1"/>
  <c r="N374" i="1"/>
  <c r="P374" i="1"/>
  <c r="N370" i="1"/>
  <c r="P370" i="1"/>
  <c r="N342" i="1"/>
  <c r="P342" i="1"/>
  <c r="N338" i="1"/>
  <c r="P338" i="1"/>
  <c r="N334" i="1"/>
  <c r="P334" i="1"/>
  <c r="N286" i="1"/>
  <c r="P286" i="1"/>
  <c r="N282" i="1"/>
  <c r="P282" i="1"/>
  <c r="N278" i="1"/>
  <c r="P278" i="1"/>
  <c r="N274" i="1"/>
  <c r="P274" i="1"/>
  <c r="N270" i="1"/>
  <c r="P270" i="1"/>
  <c r="N266" i="1"/>
  <c r="P266" i="1"/>
  <c r="N262" i="1"/>
  <c r="P262" i="1"/>
  <c r="N258" i="1"/>
  <c r="P258" i="1"/>
  <c r="N254" i="1"/>
  <c r="P254" i="1"/>
  <c r="N250" i="1"/>
  <c r="P250" i="1"/>
  <c r="N246" i="1"/>
  <c r="P246" i="1"/>
  <c r="N218" i="1"/>
  <c r="P218" i="1"/>
  <c r="N214" i="1"/>
  <c r="P214" i="1"/>
  <c r="N210" i="1"/>
  <c r="P210" i="1"/>
  <c r="N206" i="1"/>
  <c r="P206" i="1"/>
  <c r="N202" i="1"/>
  <c r="P202" i="1"/>
  <c r="N198" i="1"/>
  <c r="P198" i="1"/>
  <c r="N194" i="1"/>
  <c r="P194" i="1"/>
  <c r="N170" i="1"/>
  <c r="P170" i="1"/>
  <c r="N166" i="1"/>
  <c r="P166" i="1"/>
  <c r="N162" i="1"/>
  <c r="P162" i="1"/>
  <c r="N158" i="1"/>
  <c r="P158" i="1"/>
  <c r="N130" i="1"/>
  <c r="P130" i="1"/>
  <c r="N126" i="1"/>
  <c r="P126" i="1"/>
  <c r="N122" i="1"/>
  <c r="P122" i="1"/>
  <c r="N118" i="1"/>
  <c r="P118" i="1"/>
  <c r="N106" i="1"/>
  <c r="P106" i="1"/>
  <c r="N102" i="1"/>
  <c r="P102" i="1"/>
  <c r="N98" i="1"/>
  <c r="P98" i="1"/>
  <c r="N82" i="1"/>
  <c r="P82" i="1"/>
  <c r="N78" i="1"/>
  <c r="P78" i="1"/>
  <c r="N74" i="1"/>
  <c r="P74" i="1"/>
  <c r="N336" i="1"/>
  <c r="P336" i="1"/>
  <c r="N284" i="1"/>
  <c r="P284" i="1"/>
  <c r="N272" i="1"/>
  <c r="P272" i="1"/>
  <c r="N260" i="1"/>
  <c r="P260" i="1"/>
  <c r="N252" i="1"/>
  <c r="P252" i="1"/>
  <c r="N212" i="1"/>
  <c r="P212" i="1"/>
  <c r="N196" i="1"/>
  <c r="P196" i="1"/>
  <c r="N168" i="1"/>
  <c r="P168" i="1"/>
  <c r="N124" i="1"/>
  <c r="P124" i="1"/>
  <c r="N104" i="1"/>
  <c r="P104" i="1"/>
  <c r="N76" i="1"/>
  <c r="P76" i="1"/>
  <c r="N470" i="1"/>
  <c r="P470" i="1"/>
  <c r="N466" i="1"/>
  <c r="P466" i="1"/>
  <c r="N458" i="1"/>
  <c r="P458" i="1"/>
  <c r="N473" i="1"/>
  <c r="P473" i="1"/>
  <c r="N469" i="1"/>
  <c r="P469" i="1"/>
  <c r="N465" i="1"/>
  <c r="P465" i="1"/>
  <c r="N461" i="1"/>
  <c r="P461" i="1"/>
  <c r="N457" i="1"/>
  <c r="P457" i="1"/>
  <c r="N453" i="1"/>
  <c r="P453" i="1"/>
  <c r="N425" i="1"/>
  <c r="P425" i="1"/>
  <c r="N421" i="1"/>
  <c r="P421" i="1"/>
  <c r="N417" i="1"/>
  <c r="P417" i="1"/>
  <c r="N413" i="1"/>
  <c r="P413" i="1"/>
  <c r="N409" i="1"/>
  <c r="P409" i="1"/>
  <c r="N405" i="1"/>
  <c r="P405" i="1"/>
  <c r="N401" i="1"/>
  <c r="P401" i="1"/>
  <c r="N397" i="1"/>
  <c r="P397" i="1"/>
  <c r="N393" i="1"/>
  <c r="P393" i="1"/>
  <c r="N389" i="1"/>
  <c r="P389" i="1"/>
  <c r="N385" i="1"/>
  <c r="P385" i="1"/>
  <c r="N381" i="1"/>
  <c r="P381" i="1"/>
  <c r="N377" i="1"/>
  <c r="P377" i="1"/>
  <c r="N373" i="1"/>
  <c r="P373" i="1"/>
  <c r="N341" i="1"/>
  <c r="P341" i="1"/>
  <c r="N337" i="1"/>
  <c r="P337" i="1"/>
  <c r="N285" i="1"/>
  <c r="P285" i="1"/>
  <c r="N281" i="1"/>
  <c r="P281" i="1"/>
  <c r="N277" i="1"/>
  <c r="P277" i="1"/>
  <c r="N273" i="1"/>
  <c r="P273" i="1"/>
  <c r="N269" i="1"/>
  <c r="P269" i="1"/>
  <c r="N265" i="1"/>
  <c r="P265" i="1"/>
  <c r="N261" i="1"/>
  <c r="P261" i="1"/>
  <c r="N257" i="1"/>
  <c r="P257" i="1"/>
  <c r="N253" i="1"/>
  <c r="P253" i="1"/>
  <c r="N249" i="1"/>
  <c r="P249" i="1"/>
  <c r="N245" i="1"/>
  <c r="P245" i="1"/>
  <c r="N217" i="1"/>
  <c r="P217" i="1"/>
  <c r="N213" i="1"/>
  <c r="P213" i="1"/>
  <c r="N209" i="1"/>
  <c r="P209" i="1"/>
  <c r="N205" i="1"/>
  <c r="P205" i="1"/>
  <c r="N201" i="1"/>
  <c r="P201" i="1"/>
  <c r="N197" i="1"/>
  <c r="P197" i="1"/>
  <c r="N169" i="1"/>
  <c r="P169" i="1"/>
  <c r="N165" i="1"/>
  <c r="P165" i="1"/>
  <c r="N161" i="1"/>
  <c r="P161" i="1"/>
  <c r="N157" i="1"/>
  <c r="P157" i="1"/>
  <c r="N129" i="1"/>
  <c r="P129" i="1"/>
  <c r="N125" i="1"/>
  <c r="P125" i="1"/>
  <c r="N121" i="1"/>
  <c r="P121" i="1"/>
  <c r="N117" i="1"/>
  <c r="P117" i="1"/>
  <c r="N105" i="1"/>
  <c r="P105" i="1"/>
  <c r="N101" i="1"/>
  <c r="P101" i="1"/>
  <c r="N97" i="1"/>
  <c r="P97" i="1"/>
  <c r="N81" i="1"/>
  <c r="P81" i="1"/>
  <c r="N77" i="1"/>
  <c r="P77" i="1"/>
  <c r="N484" i="1"/>
  <c r="P484" i="1"/>
  <c r="N452" i="1"/>
  <c r="P452" i="1"/>
  <c r="N436" i="1"/>
  <c r="P436" i="1"/>
  <c r="N368" i="1"/>
  <c r="P368" i="1"/>
  <c r="N356" i="1"/>
  <c r="P356" i="1"/>
  <c r="N348" i="1"/>
  <c r="P348" i="1"/>
  <c r="N324" i="1"/>
  <c r="P324" i="1"/>
  <c r="N312" i="1"/>
  <c r="P312" i="1"/>
  <c r="N300" i="1"/>
  <c r="P300" i="1"/>
  <c r="N288" i="1"/>
  <c r="P288" i="1"/>
  <c r="N232" i="1"/>
  <c r="P232" i="1"/>
  <c r="N224" i="1"/>
  <c r="P224" i="1"/>
  <c r="N188" i="1"/>
  <c r="P188" i="1"/>
  <c r="N176" i="1"/>
  <c r="P176" i="1"/>
  <c r="N172" i="1"/>
  <c r="P172" i="1"/>
  <c r="N148" i="1"/>
  <c r="P148" i="1"/>
  <c r="N136" i="1"/>
  <c r="P136" i="1"/>
  <c r="N112" i="1"/>
  <c r="P112" i="1"/>
  <c r="N92" i="1"/>
  <c r="P92" i="1"/>
  <c r="N64" i="1"/>
  <c r="P64" i="1"/>
  <c r="N56" i="1"/>
  <c r="P56" i="1"/>
  <c r="N44" i="1"/>
  <c r="P44" i="1"/>
  <c r="N36" i="1"/>
  <c r="P36" i="1"/>
  <c r="N28" i="1"/>
  <c r="P28" i="1"/>
  <c r="N20" i="1"/>
  <c r="P20" i="1"/>
  <c r="N4" i="1"/>
  <c r="P4" i="1"/>
  <c r="N483" i="1"/>
  <c r="P483" i="1"/>
  <c r="N479" i="1"/>
  <c r="P479" i="1"/>
  <c r="N451" i="1"/>
  <c r="P451" i="1"/>
  <c r="N447" i="1"/>
  <c r="P447" i="1"/>
  <c r="N443" i="1"/>
  <c r="P443" i="1"/>
  <c r="N439" i="1"/>
  <c r="P439" i="1"/>
  <c r="N435" i="1"/>
  <c r="P435" i="1"/>
  <c r="N431" i="1"/>
  <c r="P431" i="1"/>
  <c r="N427" i="1"/>
  <c r="P427" i="1"/>
  <c r="N367" i="1"/>
  <c r="P367" i="1"/>
  <c r="N363" i="1"/>
  <c r="P363" i="1"/>
  <c r="N359" i="1"/>
  <c r="P359" i="1"/>
  <c r="N355" i="1"/>
  <c r="P355" i="1"/>
  <c r="N351" i="1"/>
  <c r="P351" i="1"/>
  <c r="N347" i="1"/>
  <c r="P347" i="1"/>
  <c r="N331" i="1"/>
  <c r="P331" i="1"/>
  <c r="N327" i="1"/>
  <c r="P327" i="1"/>
  <c r="N323" i="1"/>
  <c r="P323" i="1"/>
  <c r="N319" i="1"/>
  <c r="P319" i="1"/>
  <c r="N315" i="1"/>
  <c r="P315" i="1"/>
  <c r="N311" i="1"/>
  <c r="P311" i="1"/>
  <c r="N307" i="1"/>
  <c r="P307" i="1"/>
  <c r="N303" i="1"/>
  <c r="P303" i="1"/>
  <c r="N299" i="1"/>
  <c r="P299" i="1"/>
  <c r="N295" i="1"/>
  <c r="P295" i="1"/>
  <c r="N291" i="1"/>
  <c r="P291" i="1"/>
  <c r="N243" i="1"/>
  <c r="P243" i="1"/>
  <c r="N239" i="1"/>
  <c r="P239" i="1"/>
  <c r="N235" i="1"/>
  <c r="P235" i="1"/>
  <c r="N231" i="1"/>
  <c r="P231" i="1"/>
  <c r="N227" i="1"/>
  <c r="P227" i="1"/>
  <c r="N223" i="1"/>
  <c r="P223" i="1"/>
  <c r="N191" i="1"/>
  <c r="P191" i="1"/>
  <c r="N187" i="1"/>
  <c r="P187" i="1"/>
  <c r="N183" i="1"/>
  <c r="P183" i="1"/>
  <c r="N179" i="1"/>
  <c r="P179" i="1"/>
  <c r="N175" i="1"/>
  <c r="P175" i="1"/>
  <c r="N171" i="1"/>
  <c r="P171" i="1"/>
  <c r="N155" i="1"/>
  <c r="P155" i="1"/>
  <c r="N151" i="1"/>
  <c r="P151" i="1"/>
  <c r="N147" i="1"/>
  <c r="P147" i="1"/>
  <c r="N143" i="1"/>
  <c r="P143" i="1"/>
  <c r="N139" i="1"/>
  <c r="P139" i="1"/>
  <c r="N135" i="1"/>
  <c r="P135" i="1"/>
  <c r="N115" i="1"/>
  <c r="P115" i="1"/>
  <c r="N111" i="1"/>
  <c r="P111" i="1"/>
  <c r="N95" i="1"/>
  <c r="P95" i="1"/>
  <c r="N91" i="1"/>
  <c r="P91" i="1"/>
  <c r="N87" i="1"/>
  <c r="P87" i="1"/>
  <c r="N71" i="1"/>
  <c r="P71" i="1"/>
  <c r="N67" i="1"/>
  <c r="P67" i="1"/>
  <c r="N63" i="1"/>
  <c r="P63" i="1"/>
  <c r="N59" i="1"/>
  <c r="P59" i="1"/>
  <c r="N55" i="1"/>
  <c r="P55" i="1"/>
  <c r="N51" i="1"/>
  <c r="P51" i="1"/>
  <c r="N47" i="1"/>
  <c r="P47" i="1"/>
  <c r="N43" i="1"/>
  <c r="P43" i="1"/>
  <c r="N39" i="1"/>
  <c r="P39" i="1"/>
  <c r="N35" i="1"/>
  <c r="P35" i="1"/>
  <c r="N31" i="1"/>
  <c r="P31" i="1"/>
  <c r="N27" i="1"/>
  <c r="P27" i="1"/>
  <c r="N23" i="1"/>
  <c r="P23" i="1"/>
  <c r="N19" i="1"/>
  <c r="P19" i="1"/>
  <c r="N15" i="1"/>
  <c r="P15" i="1"/>
  <c r="N11" i="1"/>
  <c r="P11" i="1"/>
  <c r="N7" i="1"/>
  <c r="P7" i="1"/>
  <c r="N3" i="1"/>
  <c r="P3" i="1"/>
  <c r="N476" i="1"/>
  <c r="P476" i="1"/>
  <c r="N444" i="1"/>
  <c r="P444" i="1"/>
  <c r="N432" i="1"/>
  <c r="P432" i="1"/>
  <c r="N360" i="1"/>
  <c r="P360" i="1"/>
  <c r="N332" i="1"/>
  <c r="P332" i="1"/>
  <c r="N320" i="1"/>
  <c r="P320" i="1"/>
  <c r="N308" i="1"/>
  <c r="P308" i="1"/>
  <c r="N296" i="1"/>
  <c r="P296" i="1"/>
  <c r="N240" i="1"/>
  <c r="P240" i="1"/>
  <c r="N228" i="1"/>
  <c r="P228" i="1"/>
  <c r="N184" i="1"/>
  <c r="P184" i="1"/>
  <c r="N152" i="1"/>
  <c r="P152" i="1"/>
  <c r="N144" i="1"/>
  <c r="P144" i="1"/>
  <c r="N132" i="1"/>
  <c r="P132" i="1"/>
  <c r="N96" i="1"/>
  <c r="P96" i="1"/>
  <c r="N88" i="1"/>
  <c r="P88" i="1"/>
  <c r="N84" i="1"/>
  <c r="P84" i="1"/>
  <c r="N72" i="1"/>
  <c r="P72" i="1"/>
  <c r="N52" i="1"/>
  <c r="P52" i="1"/>
  <c r="N12" i="1"/>
  <c r="P12" i="1"/>
  <c r="N482" i="1"/>
  <c r="P482" i="1"/>
  <c r="N450" i="1"/>
  <c r="P450" i="1"/>
  <c r="N446" i="1"/>
  <c r="P446" i="1"/>
  <c r="N442" i="1"/>
  <c r="P442" i="1"/>
  <c r="N438" i="1"/>
  <c r="P438" i="1"/>
  <c r="N434" i="1"/>
  <c r="P434" i="1"/>
  <c r="N430" i="1"/>
  <c r="P430" i="1"/>
  <c r="N426" i="1"/>
  <c r="P426" i="1"/>
  <c r="N366" i="1"/>
  <c r="P366" i="1"/>
  <c r="N362" i="1"/>
  <c r="P362" i="1"/>
  <c r="N358" i="1"/>
  <c r="P358" i="1"/>
  <c r="N354" i="1"/>
  <c r="P354" i="1"/>
  <c r="N350" i="1"/>
  <c r="P350" i="1"/>
  <c r="N346" i="1"/>
  <c r="P346" i="1"/>
  <c r="N330" i="1"/>
  <c r="P330" i="1"/>
  <c r="N326" i="1"/>
  <c r="P326" i="1"/>
  <c r="N322" i="1"/>
  <c r="P322" i="1"/>
  <c r="N318" i="1"/>
  <c r="P318" i="1"/>
  <c r="N314" i="1"/>
  <c r="P314" i="1"/>
  <c r="N310" i="1"/>
  <c r="P310" i="1"/>
  <c r="N306" i="1"/>
  <c r="P306" i="1"/>
  <c r="N302" i="1"/>
  <c r="P302" i="1"/>
  <c r="N298" i="1"/>
  <c r="P298" i="1"/>
  <c r="N294" i="1"/>
  <c r="P294" i="1"/>
  <c r="N290" i="1"/>
  <c r="P290" i="1"/>
  <c r="N242" i="1"/>
  <c r="P242" i="1"/>
  <c r="N238" i="1"/>
  <c r="P238" i="1"/>
  <c r="N234" i="1"/>
  <c r="P234" i="1"/>
  <c r="N230" i="1"/>
  <c r="P230" i="1"/>
  <c r="N226" i="1"/>
  <c r="P226" i="1"/>
  <c r="N222" i="1"/>
  <c r="P222" i="1"/>
  <c r="N190" i="1"/>
  <c r="P190" i="1"/>
  <c r="N186" i="1"/>
  <c r="P186" i="1"/>
  <c r="N182" i="1"/>
  <c r="P182" i="1"/>
  <c r="N178" i="1"/>
  <c r="P178" i="1"/>
  <c r="N174" i="1"/>
  <c r="P174" i="1"/>
  <c r="N154" i="1"/>
  <c r="P154" i="1"/>
  <c r="N150" i="1"/>
  <c r="P150" i="1"/>
  <c r="N146" i="1"/>
  <c r="P146" i="1"/>
  <c r="N142" i="1"/>
  <c r="P142" i="1"/>
  <c r="N138" i="1"/>
  <c r="P138" i="1"/>
  <c r="N134" i="1"/>
  <c r="P134" i="1"/>
  <c r="N114" i="1"/>
  <c r="P114" i="1"/>
  <c r="N110" i="1"/>
  <c r="P110" i="1"/>
  <c r="N94" i="1"/>
  <c r="P94" i="1"/>
  <c r="N90" i="1"/>
  <c r="P90" i="1"/>
  <c r="N86" i="1"/>
  <c r="P86" i="1"/>
  <c r="N70" i="1"/>
  <c r="P70" i="1"/>
  <c r="N66" i="1"/>
  <c r="P66" i="1"/>
  <c r="N62" i="1"/>
  <c r="P62" i="1"/>
  <c r="N58" i="1"/>
  <c r="P58" i="1"/>
  <c r="N54" i="1"/>
  <c r="P54" i="1"/>
  <c r="N50" i="1"/>
  <c r="P50" i="1"/>
  <c r="N46" i="1"/>
  <c r="P46" i="1"/>
  <c r="N42" i="1"/>
  <c r="P42" i="1"/>
  <c r="N38" i="1"/>
  <c r="P38" i="1"/>
  <c r="N34" i="1"/>
  <c r="P34" i="1"/>
  <c r="N30" i="1"/>
  <c r="P30" i="1"/>
  <c r="N26" i="1"/>
  <c r="P26" i="1"/>
  <c r="N22" i="1"/>
  <c r="P22" i="1"/>
  <c r="N18" i="1"/>
  <c r="P18" i="1"/>
  <c r="N14" i="1"/>
  <c r="P14" i="1"/>
  <c r="N10" i="1"/>
  <c r="P10" i="1"/>
  <c r="N6" i="1"/>
  <c r="P6" i="1"/>
  <c r="N480" i="1"/>
  <c r="P480" i="1"/>
  <c r="N448" i="1"/>
  <c r="P448" i="1"/>
  <c r="N440" i="1"/>
  <c r="P440" i="1"/>
  <c r="N428" i="1"/>
  <c r="P428" i="1"/>
  <c r="N364" i="1"/>
  <c r="P364" i="1"/>
  <c r="N352" i="1"/>
  <c r="P352" i="1"/>
  <c r="N328" i="1"/>
  <c r="P328" i="1"/>
  <c r="N316" i="1"/>
  <c r="P316" i="1"/>
  <c r="N304" i="1"/>
  <c r="P304" i="1"/>
  <c r="N292" i="1"/>
  <c r="P292" i="1"/>
  <c r="N236" i="1"/>
  <c r="P236" i="1"/>
  <c r="N220" i="1"/>
  <c r="P220" i="1"/>
  <c r="N192" i="1"/>
  <c r="P192" i="1"/>
  <c r="N180" i="1"/>
  <c r="P180" i="1"/>
  <c r="N156" i="1"/>
  <c r="P156" i="1"/>
  <c r="N140" i="1"/>
  <c r="P140" i="1"/>
  <c r="N116" i="1"/>
  <c r="P116" i="1"/>
  <c r="N68" i="1"/>
  <c r="P68" i="1"/>
  <c r="N60" i="1"/>
  <c r="P60" i="1"/>
  <c r="N48" i="1"/>
  <c r="P48" i="1"/>
  <c r="N40" i="1"/>
  <c r="P40" i="1"/>
  <c r="N32" i="1"/>
  <c r="P32" i="1"/>
  <c r="N24" i="1"/>
  <c r="P24" i="1"/>
  <c r="N16" i="1"/>
  <c r="P16" i="1"/>
  <c r="N8" i="1"/>
  <c r="P8" i="1"/>
  <c r="N478" i="1"/>
  <c r="P478" i="1"/>
  <c r="N485" i="1"/>
  <c r="P485" i="1"/>
  <c r="N481" i="1"/>
  <c r="P481" i="1"/>
  <c r="N477" i="1"/>
  <c r="P477" i="1"/>
  <c r="N449" i="1"/>
  <c r="P449" i="1"/>
  <c r="N445" i="1"/>
  <c r="P445" i="1"/>
  <c r="N441" i="1"/>
  <c r="P441" i="1"/>
  <c r="N437" i="1"/>
  <c r="P437" i="1"/>
  <c r="N433" i="1"/>
  <c r="P433" i="1"/>
  <c r="N429" i="1"/>
  <c r="P429" i="1"/>
  <c r="N369" i="1"/>
  <c r="P369" i="1"/>
  <c r="N365" i="1"/>
  <c r="P365" i="1"/>
  <c r="N361" i="1"/>
  <c r="P361" i="1"/>
  <c r="N357" i="1"/>
  <c r="P357" i="1"/>
  <c r="N353" i="1"/>
  <c r="P353" i="1"/>
  <c r="N349" i="1"/>
  <c r="P349" i="1"/>
  <c r="N345" i="1"/>
  <c r="P345" i="1"/>
  <c r="N333" i="1"/>
  <c r="P333" i="1"/>
  <c r="N329" i="1"/>
  <c r="P329" i="1"/>
  <c r="N325" i="1"/>
  <c r="P325" i="1"/>
  <c r="N321" i="1"/>
  <c r="P321" i="1"/>
  <c r="N317" i="1"/>
  <c r="P317" i="1"/>
  <c r="N313" i="1"/>
  <c r="P313" i="1"/>
  <c r="N309" i="1"/>
  <c r="P309" i="1"/>
  <c r="N305" i="1"/>
  <c r="P305" i="1"/>
  <c r="N301" i="1"/>
  <c r="P301" i="1"/>
  <c r="N297" i="1"/>
  <c r="P297" i="1"/>
  <c r="N293" i="1"/>
  <c r="P293" i="1"/>
  <c r="N289" i="1"/>
  <c r="P289" i="1"/>
  <c r="N241" i="1"/>
  <c r="P241" i="1"/>
  <c r="N237" i="1"/>
  <c r="P237" i="1"/>
  <c r="N233" i="1"/>
  <c r="P233" i="1"/>
  <c r="N229" i="1"/>
  <c r="P229" i="1"/>
  <c r="N225" i="1"/>
  <c r="P225" i="1"/>
  <c r="N221" i="1"/>
  <c r="P221" i="1"/>
  <c r="N193" i="1"/>
  <c r="P193" i="1"/>
  <c r="N189" i="1"/>
  <c r="P189" i="1"/>
  <c r="N185" i="1"/>
  <c r="P185" i="1"/>
  <c r="N181" i="1"/>
  <c r="P181" i="1"/>
  <c r="N177" i="1"/>
  <c r="P177" i="1"/>
  <c r="N173" i="1"/>
  <c r="P173" i="1"/>
  <c r="N153" i="1"/>
  <c r="P153" i="1"/>
  <c r="N149" i="1"/>
  <c r="P149" i="1"/>
  <c r="N145" i="1"/>
  <c r="P145" i="1"/>
  <c r="N141" i="1"/>
  <c r="P141" i="1"/>
  <c r="N137" i="1"/>
  <c r="P137" i="1"/>
  <c r="N133" i="1"/>
  <c r="P133" i="1"/>
  <c r="N113" i="1"/>
  <c r="P113" i="1"/>
  <c r="N109" i="1"/>
  <c r="P109" i="1"/>
  <c r="N93" i="1"/>
  <c r="P93" i="1"/>
  <c r="N89" i="1"/>
  <c r="P89" i="1"/>
  <c r="N85" i="1"/>
  <c r="P85" i="1"/>
  <c r="N73" i="1"/>
  <c r="P73" i="1"/>
  <c r="N69" i="1"/>
  <c r="P69" i="1"/>
  <c r="N65" i="1"/>
  <c r="P65" i="1"/>
  <c r="N61" i="1"/>
  <c r="P61" i="1"/>
  <c r="N57" i="1"/>
  <c r="P57" i="1"/>
  <c r="N53" i="1"/>
  <c r="P53" i="1"/>
  <c r="N49" i="1"/>
  <c r="P49" i="1"/>
  <c r="N45" i="1"/>
  <c r="P45" i="1"/>
  <c r="N41" i="1"/>
  <c r="P41" i="1"/>
  <c r="N37" i="1"/>
  <c r="P37" i="1"/>
  <c r="N33" i="1"/>
  <c r="P33" i="1"/>
  <c r="N29" i="1"/>
  <c r="P29" i="1"/>
  <c r="N25" i="1"/>
  <c r="P25" i="1"/>
  <c r="N21" i="1"/>
  <c r="P21" i="1"/>
  <c r="N17" i="1"/>
  <c r="P17" i="1"/>
  <c r="N13" i="1"/>
  <c r="P13" i="1"/>
  <c r="N9" i="1"/>
  <c r="P9" i="1"/>
  <c r="N5" i="1"/>
  <c r="P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2" i="1"/>
  <c r="F4" i="1"/>
  <c r="F5" i="1"/>
  <c r="F6" i="1"/>
  <c r="F8" i="1"/>
  <c r="F9" i="1"/>
  <c r="F10" i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4" i="1"/>
  <c r="F45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64" i="1"/>
  <c r="F66" i="1"/>
  <c r="F67" i="1"/>
  <c r="F68" i="1"/>
  <c r="F69" i="1"/>
  <c r="F70" i="1"/>
  <c r="F71" i="1"/>
  <c r="F72" i="1"/>
  <c r="F73" i="1"/>
  <c r="F75" i="1"/>
  <c r="F76" i="1"/>
  <c r="F77" i="1"/>
  <c r="F78" i="1"/>
  <c r="F79" i="1"/>
  <c r="F80" i="1"/>
  <c r="F81" i="1"/>
  <c r="F82" i="1"/>
  <c r="F83" i="1"/>
  <c r="F85" i="1"/>
  <c r="F86" i="1"/>
  <c r="F87" i="1"/>
  <c r="F88" i="1"/>
  <c r="F89" i="1"/>
  <c r="F90" i="1"/>
  <c r="F91" i="1"/>
  <c r="F92" i="1"/>
  <c r="F93" i="1"/>
  <c r="F94" i="1"/>
  <c r="F95" i="1"/>
  <c r="F96" i="1"/>
  <c r="F98" i="1"/>
  <c r="F99" i="1"/>
  <c r="F100" i="1"/>
  <c r="F101" i="1"/>
  <c r="F102" i="1"/>
  <c r="F103" i="1"/>
  <c r="F104" i="1"/>
  <c r="F105" i="1"/>
  <c r="F106" i="1"/>
  <c r="F107" i="1"/>
  <c r="F108" i="1"/>
  <c r="F110" i="1"/>
  <c r="F111" i="1"/>
  <c r="F112" i="1"/>
  <c r="F113" i="1"/>
  <c r="F114" i="1"/>
  <c r="F115" i="1"/>
  <c r="F116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3" i="1"/>
  <c r="F134" i="1"/>
  <c r="F135" i="1"/>
  <c r="F136" i="1"/>
  <c r="F137" i="1"/>
  <c r="F138" i="1"/>
  <c r="F139" i="1"/>
  <c r="F140" i="1"/>
  <c r="F141" i="1"/>
  <c r="F142" i="1"/>
  <c r="F143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2" i="1"/>
  <c r="F173" i="1"/>
  <c r="F174" i="1"/>
  <c r="F175" i="1"/>
  <c r="F176" i="1"/>
  <c r="F177" i="1"/>
  <c r="F178" i="1"/>
  <c r="F179" i="1"/>
  <c r="F180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3" i="1"/>
  <c r="F214" i="1"/>
  <c r="F215" i="1"/>
  <c r="F216" i="1"/>
  <c r="F217" i="1"/>
  <c r="F218" i="1"/>
  <c r="F219" i="1"/>
  <c r="F221" i="1"/>
  <c r="F222" i="1"/>
  <c r="F223" i="1"/>
  <c r="F224" i="1"/>
  <c r="F225" i="1"/>
  <c r="F226" i="1"/>
  <c r="F227" i="1"/>
  <c r="F228" i="1"/>
  <c r="F229" i="1"/>
  <c r="F230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9" i="1"/>
  <c r="F290" i="1"/>
  <c r="F291" i="1"/>
  <c r="F292" i="1"/>
  <c r="F293" i="1"/>
  <c r="F294" i="1"/>
  <c r="F295" i="1"/>
  <c r="F296" i="1"/>
  <c r="F297" i="1"/>
  <c r="F299" i="1"/>
  <c r="F300" i="1"/>
  <c r="F301" i="1"/>
  <c r="F302" i="1"/>
  <c r="F303" i="1"/>
  <c r="F305" i="1"/>
  <c r="F306" i="1"/>
  <c r="F307" i="1"/>
  <c r="F308" i="1"/>
  <c r="F309" i="1"/>
  <c r="F310" i="1"/>
  <c r="F311" i="1"/>
  <c r="F312" i="1"/>
  <c r="F313" i="1"/>
  <c r="F314" i="1"/>
  <c r="F316" i="1"/>
  <c r="F317" i="1"/>
  <c r="F318" i="1"/>
  <c r="F319" i="1"/>
  <c r="F320" i="1"/>
  <c r="F321" i="1"/>
  <c r="F322" i="1"/>
  <c r="F323" i="1"/>
  <c r="F324" i="1"/>
  <c r="F325" i="1"/>
  <c r="F327" i="1"/>
  <c r="F328" i="1"/>
  <c r="F329" i="1"/>
  <c r="F330" i="1"/>
  <c r="F331" i="1"/>
  <c r="F332" i="1"/>
  <c r="F333" i="1"/>
  <c r="F335" i="1"/>
  <c r="F336" i="1"/>
  <c r="F337" i="1"/>
  <c r="F338" i="1"/>
  <c r="F339" i="1"/>
  <c r="F340" i="1"/>
  <c r="F341" i="1"/>
  <c r="F342" i="1"/>
  <c r="F343" i="1"/>
  <c r="F344" i="1"/>
  <c r="F346" i="1"/>
  <c r="F347" i="1"/>
  <c r="F348" i="1"/>
  <c r="F349" i="1"/>
  <c r="F350" i="1"/>
  <c r="F351" i="1"/>
  <c r="F352" i="1"/>
  <c r="F354" i="1"/>
  <c r="F355" i="1"/>
  <c r="F356" i="1"/>
  <c r="F357" i="1"/>
  <c r="F358" i="1"/>
  <c r="F359" i="1"/>
  <c r="F360" i="1"/>
  <c r="F361" i="1"/>
  <c r="F362" i="1"/>
  <c r="F363" i="1"/>
  <c r="F365" i="1"/>
  <c r="F366" i="1"/>
  <c r="F367" i="1"/>
  <c r="F368" i="1"/>
  <c r="F369" i="1"/>
  <c r="F371" i="1"/>
  <c r="F373" i="1"/>
  <c r="F374" i="1"/>
  <c r="F375" i="1"/>
  <c r="F376" i="1"/>
  <c r="F377" i="1"/>
  <c r="F378" i="1"/>
  <c r="F379" i="1"/>
  <c r="F380" i="1"/>
  <c r="F381" i="1"/>
  <c r="F382" i="1"/>
  <c r="F383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400" i="1"/>
  <c r="F401" i="1"/>
  <c r="F402" i="1"/>
  <c r="F403" i="1"/>
  <c r="F404" i="1"/>
  <c r="F405" i="1"/>
  <c r="F406" i="1"/>
  <c r="F407" i="1"/>
  <c r="F408" i="1"/>
  <c r="F409" i="1"/>
  <c r="F410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7" i="1"/>
  <c r="F478" i="1"/>
  <c r="F479" i="1"/>
  <c r="F480" i="1"/>
  <c r="F481" i="1"/>
  <c r="F482" i="1"/>
  <c r="F483" i="1"/>
  <c r="F484" i="1"/>
  <c r="F485" i="1"/>
  <c r="F3" i="1"/>
  <c r="F7" i="1"/>
  <c r="F18" i="1"/>
  <c r="F29" i="1"/>
  <c r="F43" i="1"/>
  <c r="F54" i="1"/>
  <c r="F65" i="1"/>
  <c r="F74" i="1"/>
  <c r="F84" i="1"/>
  <c r="F97" i="1"/>
  <c r="F109" i="1"/>
  <c r="F117" i="1"/>
  <c r="F132" i="1"/>
  <c r="F144" i="1"/>
  <c r="F157" i="1"/>
  <c r="F171" i="1"/>
  <c r="F181" i="1"/>
  <c r="F194" i="1"/>
  <c r="F212" i="1"/>
  <c r="F220" i="1"/>
  <c r="F231" i="1"/>
  <c r="F244" i="1"/>
  <c r="F260" i="1"/>
  <c r="F275" i="1"/>
  <c r="F288" i="1"/>
  <c r="F298" i="1"/>
  <c r="F304" i="1"/>
  <c r="F315" i="1"/>
  <c r="F326" i="1"/>
  <c r="F334" i="1"/>
  <c r="F345" i="1"/>
  <c r="F353" i="1"/>
  <c r="F364" i="1"/>
  <c r="F370" i="1"/>
  <c r="F384" i="1"/>
  <c r="F399" i="1"/>
  <c r="F411" i="1"/>
  <c r="F426" i="1"/>
  <c r="F440" i="1"/>
  <c r="F453" i="1"/>
  <c r="F476" i="1"/>
  <c r="F2" i="1"/>
</calcChain>
</file>

<file path=xl/sharedStrings.xml><?xml version="1.0" encoding="utf-8"?>
<sst xmlns="http://schemas.openxmlformats.org/spreadsheetml/2006/main" count="2957" uniqueCount="1115">
  <si>
    <t>V10</t>
  </si>
  <si>
    <t>V4</t>
  </si>
  <si>
    <t>ref_num</t>
    <phoneticPr fontId="1" type="noConversion"/>
  </si>
  <si>
    <t>Name</t>
    <phoneticPr fontId="1" type="noConversion"/>
  </si>
  <si>
    <t>Barcode</t>
    <phoneticPr fontId="1" type="noConversion"/>
  </si>
  <si>
    <t>wt_alt_112</t>
    <phoneticPr fontId="1" type="noConversion"/>
  </si>
  <si>
    <t>F_priming</t>
    <phoneticPr fontId="1" type="noConversion"/>
  </si>
  <si>
    <t>R_priming</t>
    <phoneticPr fontId="1" type="noConversion"/>
  </si>
  <si>
    <t>final_seq</t>
    <phoneticPr fontId="1" type="noConversion"/>
  </si>
  <si>
    <t>uc002con.4_intron_0_0_chr16_2048066_f</t>
  </si>
  <si>
    <t>uc002con.4_intron_1_0_chr16_2048754_f</t>
  </si>
  <si>
    <t>uc002con.4_intron_2_0_chr16_2050487_f</t>
  </si>
  <si>
    <t>uc002con.4_intron_3_0_chr16_2053453_f</t>
  </si>
  <si>
    <t>uc002con.4_intron_4_0_chr16_2054441_f</t>
  </si>
  <si>
    <t>uc002con.4_intron_5_0_chr16_2055520_f</t>
  </si>
  <si>
    <t>uc002con.4_intron_6_0_chr16_2056245_f</t>
  </si>
  <si>
    <t>uc002con.4_intron_7_0_chr16_2056770_f</t>
  </si>
  <si>
    <t>uc002con.4_intron_8_0_chr16_2057179_f</t>
  </si>
  <si>
    <t>uc002con.4_intron_9_0_chr16_2058874_f</t>
  </si>
  <si>
    <t>uc002con.4_intron_10_0_chr16_2060814_f</t>
  </si>
  <si>
    <t>uc002con.4_intron_11_0_chr16_2062009_f</t>
  </si>
  <si>
    <t>uc002con.4_intron_12_0_chr16_2062601_f</t>
  </si>
  <si>
    <t>uc002con.4_intron_13_0_chr16_2063054_f</t>
  </si>
  <si>
    <t>uc002con.4_intron_14_0_chr16_2064428_f</t>
  </si>
  <si>
    <t>uc002con.4_intron_15_0_chr16_2065636_f</t>
  </si>
  <si>
    <t>uc002con.4_intron_16_0_chr16_2070579_f</t>
  </si>
  <si>
    <t>uc002con.4_intron_17_0_chr16_2071617_f</t>
  </si>
  <si>
    <t>uc002con.4_intron_18_0_chr16_2071935_f</t>
  </si>
  <si>
    <t>uc002con.4_intron_19_0_chr16_2072364_f</t>
  </si>
  <si>
    <t>uc002con.4_intron_20_0_chr16_2072984_f</t>
  </si>
  <si>
    <t>uc002con.4_intron_21_0_chr16_2074390_f</t>
  </si>
  <si>
    <t>uc002con.4_intron_22_0_chr16_2075893_f</t>
  </si>
  <si>
    <t>uc002con.4_intron_23_0_chr16_2076171_f</t>
  </si>
  <si>
    <t>uc002con.4_intron_24_0_chr16_2076586_f</t>
  </si>
  <si>
    <t>uc002con.4_intron_25_0_chr16_2077727_f</t>
  </si>
  <si>
    <t>uc002con.4_intron_26_0_chr16_2079197_f</t>
  </si>
  <si>
    <t>uc002con.4_intron_27_0_chr16_2079429_f</t>
  </si>
  <si>
    <t>uc002con.4_intron_28_0_chr16_2079670_f</t>
  </si>
  <si>
    <t>uc002con.4_intron_29_0_chr16_2080378_f</t>
  </si>
  <si>
    <t>uc002con.4_intron_30_0_chr16_2081799_f</t>
  </si>
  <si>
    <t>uc002con.4_intron_31_0_chr16_2082505_f</t>
  </si>
  <si>
    <t>uc002con.4_intron_32_0_chr16_2083817_f</t>
  </si>
  <si>
    <t>uc002con.4_intron_33_0_chr16_2084716_f</t>
  </si>
  <si>
    <t>uc002con.4_intron_34_0_chr16_2085027_f</t>
  </si>
  <si>
    <t>uc002con.4_intron_35_0_chr16_2085323_f</t>
  </si>
  <si>
    <t>uc002con.4_intron_36_0_chr16_2086380_f</t>
  </si>
  <si>
    <t>uc002con.4_intron_37_0_chr16_2086872_f</t>
  </si>
  <si>
    <t>uc002con.4_intron_38_0_chr16_2087942_f</t>
  </si>
  <si>
    <t>uc002con.4_intron_39_0_chr16_2088140_f</t>
  </si>
  <si>
    <t>uc002con.4_intron_40_0_chr16_2088326_f</t>
  </si>
  <si>
    <t>chr16:2048065-2048066:G&gt;C</t>
  </si>
  <si>
    <t>chr16:2048065-2048066:G&gt;T</t>
  </si>
  <si>
    <t>chr16:2048066-2048067:T&gt;C</t>
  </si>
  <si>
    <t>chr16:2048069-2048070:G&gt;T</t>
  </si>
  <si>
    <t>chr16:2048753-2048754:G&gt;A</t>
  </si>
  <si>
    <t>chr16:2048753-2048754:G&gt;C</t>
  </si>
  <si>
    <t>chr16:2048754-2048755:T&gt;C</t>
  </si>
  <si>
    <t>chr16:2048754-2048756:TG&gt;-</t>
  </si>
  <si>
    <t>chr16:2048757-2048758:G&gt;A</t>
  </si>
  <si>
    <t>chr16:2048762-2048763:C&gt;G</t>
  </si>
  <si>
    <t>chr16:2048766-2048767:C&gt;G</t>
  </si>
  <si>
    <t>chr16:2048768-2048769:G&gt;A</t>
  </si>
  <si>
    <t>chr16:2048772-2048773:C&gt;G</t>
  </si>
  <si>
    <t>chr16:2048822-2048823:C&gt;T</t>
  </si>
  <si>
    <t>chr16:2050486-2050487:G&gt;A</t>
  </si>
  <si>
    <t>chr16:2050486-2050487:G&gt;T</t>
  </si>
  <si>
    <t>chr16:2050487-2050488:T&gt;A</t>
  </si>
  <si>
    <t>chr16:2050488-2050489:A&gt;G</t>
  </si>
  <si>
    <t>chr16:2050489-2050490:G&gt;A</t>
  </si>
  <si>
    <t>chr16:2050490-2050491:G&gt;T</t>
  </si>
  <si>
    <t>chr16:2050497-2050498:C&gt;A</t>
  </si>
  <si>
    <t>chr16:2050503-2050504:A&gt;G</t>
  </si>
  <si>
    <t>chr16:2050504-2050505:G&gt;A</t>
  </si>
  <si>
    <t>chr16:2050516-2050518:AG&gt;-</t>
  </si>
  <si>
    <t>chr16:2053452-2053453:G&gt;-</t>
  </si>
  <si>
    <t>chr16:2053452-2053453:G&gt;A</t>
  </si>
  <si>
    <t>chr16:2053452-2053453:G&gt;C</t>
  </si>
  <si>
    <t>chr16:2053453-2053454:T&gt;G</t>
  </si>
  <si>
    <t>chr16:2053454-2053454:-&gt;GT</t>
  </si>
  <si>
    <t>chr16:2053456-2053457:G&gt;C</t>
  </si>
  <si>
    <t>chr16:2053459-2053460:C&gt;T</t>
  </si>
  <si>
    <t>chr16:2053461-2053462:A&gt;G</t>
  </si>
  <si>
    <t>chr16:2053465-2053466:C&gt;T</t>
  </si>
  <si>
    <t>chr16:2053481-2053482:G&gt;A</t>
  </si>
  <si>
    <t>chr16:2053483-2053484:C&gt;T</t>
  </si>
  <si>
    <t>chr16:2053484-2053485:G&gt;T</t>
  </si>
  <si>
    <t>chr16:2053512-2053513:C&gt;T</t>
  </si>
  <si>
    <t>chr16:2054440-2054441:G&gt;T</t>
  </si>
  <si>
    <t>chr16:2054441-2054442:T&gt;-</t>
  </si>
  <si>
    <t>chr16:2054444-2054445:G&gt;A</t>
  </si>
  <si>
    <t>chr16:2054444-2054445:G&gt;T</t>
  </si>
  <si>
    <t>chr16:2054445-2054446:T&gt;G</t>
  </si>
  <si>
    <t>chr16:2054447-2054448:C&gt;T</t>
  </si>
  <si>
    <t>chr16:2054448-2054449:C&gt;T</t>
  </si>
  <si>
    <t>chr16:2054449-2054450:A&gt;C</t>
  </si>
  <si>
    <t>chr16:2054451-2054452:C&gt;T</t>
  </si>
  <si>
    <t>chr16:2054460-2054461:G&gt;C</t>
  </si>
  <si>
    <t>chr16:2055519-2055520:G&gt;A</t>
  </si>
  <si>
    <t>chr16:2055520-2055521:T&gt;G</t>
  </si>
  <si>
    <t>chr16:2055521-2055522:A&gt;G</t>
  </si>
  <si>
    <t>chr16:2055521-2055522:A&gt;T</t>
  </si>
  <si>
    <t>chr16:2055522-2055523:A&gt;G</t>
  </si>
  <si>
    <t>chr16:2055523-2055524:G&gt;-</t>
  </si>
  <si>
    <t>chr16:2055523-2055524:G&gt;A</t>
  </si>
  <si>
    <t>chr16:2055523-2055524:G&gt;C</t>
  </si>
  <si>
    <t>chr16:2055528-2055529:G&gt;C</t>
  </si>
  <si>
    <t>chr16:2055535-2055536:G&gt;C</t>
  </si>
  <si>
    <t>chr16:2056244-2056245:G&gt;A</t>
  </si>
  <si>
    <t>chr16:2056244-2056245:G&gt;C</t>
  </si>
  <si>
    <t>chr16:2056244-2056245:G&gt;T</t>
  </si>
  <si>
    <t>chr16:2056249-2056250:T&gt;C</t>
  </si>
  <si>
    <t>chr16:2056252-2056253:C&gt;T</t>
  </si>
  <si>
    <t>chr16:2056257-2056258:C&gt;T</t>
  </si>
  <si>
    <t>chr16:2056260-2056261:C&gt;A</t>
  </si>
  <si>
    <t>chr16:2056262-2056263:C&gt;T</t>
  </si>
  <si>
    <t>chr16:2056769-2056770:G&gt;A</t>
  </si>
  <si>
    <t>chr16:2056769-2056770:G&gt;C</t>
  </si>
  <si>
    <t>chr16:2056769-2056770:G&gt;T</t>
  </si>
  <si>
    <t>chr16:2056770-2056771:T&gt;A</t>
  </si>
  <si>
    <t>chr16:2056770-2056771:T&gt;G</t>
  </si>
  <si>
    <t>chr16:2056772-2056773:G&gt;A</t>
  </si>
  <si>
    <t>chr16:2056792-2056793:G&gt;T</t>
  </si>
  <si>
    <t>chr16:2056796-2056797:G&gt;C</t>
  </si>
  <si>
    <t>chr16:2056823-2056824:G&gt;A</t>
  </si>
  <si>
    <t>chr16:2057178-2057179:G&gt;A</t>
  </si>
  <si>
    <t>chr16:2057178-2057179:G&gt;C</t>
  </si>
  <si>
    <t>chr16:2057178-2057179:G&gt;T</t>
  </si>
  <si>
    <t>chr16:2057179-2057180:T&gt;G</t>
  </si>
  <si>
    <t>chr16:2057180-2057181:G&gt;-</t>
  </si>
  <si>
    <t>chr16:2057182-2057183:G&gt;A</t>
  </si>
  <si>
    <t>chr16:2057184-2057185:G&gt;A</t>
  </si>
  <si>
    <t>chr16:2057190-2057191:G&gt;T</t>
  </si>
  <si>
    <t>chr16:2057196-2057197:G&gt;A</t>
  </si>
  <si>
    <t>chr16:2057197-2057198:C&gt;T</t>
  </si>
  <si>
    <t>chr16:2057216-2057217:G&gt;T</t>
  </si>
  <si>
    <t>chr16:2057221-2057222:G&gt;T</t>
  </si>
  <si>
    <t>chr16:2058873-2058874:G&gt;-</t>
  </si>
  <si>
    <t>chr16:2058873-2058874:G&gt;A</t>
  </si>
  <si>
    <t>chr16:2058873-2058874:G&gt;C</t>
  </si>
  <si>
    <t>chr16:2058873-2058874:G&gt;T</t>
  </si>
  <si>
    <t>chr16:2058875-2058876:A&gt;C</t>
  </si>
  <si>
    <t>chr16:2058877-2058878:G&gt;C</t>
  </si>
  <si>
    <t>chr16:2058877-2058878:G&gt;T</t>
  </si>
  <si>
    <t>chr16:2058879-2058880:C&gt;T</t>
  </si>
  <si>
    <t>chr16:2058880-2058881:G&gt;A</t>
  </si>
  <si>
    <t>chr16:2058885-2058886:C&gt;T</t>
  </si>
  <si>
    <t>chr16:2058888-2058889:T&gt;C</t>
  </si>
  <si>
    <t>chr16:2060813-2060814:G&gt;A</t>
  </si>
  <si>
    <t>chr16:2060813-2060814:G&gt;C</t>
  </si>
  <si>
    <t>chr16:2060814-2060815:T&gt;G</t>
  </si>
  <si>
    <t>chr16:2060818-2060819:G&gt;C</t>
  </si>
  <si>
    <t>chr16:2060825-2060825:-&gt;G</t>
  </si>
  <si>
    <t>chr16:2060834-2060835:C&gt;T</t>
  </si>
  <si>
    <t>chr16:2060835-2060836:G&gt;A</t>
  </si>
  <si>
    <t>chr16:2062008-2062009:G&gt;A</t>
  </si>
  <si>
    <t>chr16:2062008-2062009:G&gt;C</t>
  </si>
  <si>
    <t>chr16:2062008-2062009:G&gt;T</t>
  </si>
  <si>
    <t>chr16:2062009-2062010:T&gt;C</t>
  </si>
  <si>
    <t>chr16:2062009-2062010:T&gt;G</t>
  </si>
  <si>
    <t>chr16:2062010-2062011:G&gt;C</t>
  </si>
  <si>
    <t>chr16:2062015-2062016:C&gt;A</t>
  </si>
  <si>
    <t>chr16:2062015-2062016:C&gt;G</t>
  </si>
  <si>
    <t>chr16:2062017-2062018:C&gt;G</t>
  </si>
  <si>
    <t>chr16:2062017-2062018:C&gt;T</t>
  </si>
  <si>
    <t>chr16:2062021-2062022:C&gt;T</t>
  </si>
  <si>
    <t>chr16:2062024-2062025:G&gt;T</t>
  </si>
  <si>
    <t>chr16:2062027-2062028:G&gt;A</t>
  </si>
  <si>
    <t>chr16:2062028-2062029:G&gt;A</t>
  </si>
  <si>
    <t>chr16:2062600-2062601:G&gt;-</t>
  </si>
  <si>
    <t>chr16:2062600-2062601:G&gt;A</t>
  </si>
  <si>
    <t>chr16:2062600-2062601:G&gt;T</t>
  </si>
  <si>
    <t>chr16:2062601-2062602:T&gt;C</t>
  </si>
  <si>
    <t>chr16:2062601-2062602:T&gt;G</t>
  </si>
  <si>
    <t>chr16:2062608-2062609:T&gt;C</t>
  </si>
  <si>
    <t>chr16:2062612-2062613:C&gt;T</t>
  </si>
  <si>
    <t>chr16:2062615-2062616:T&gt;G</t>
  </si>
  <si>
    <t>chr16:2062617-2062618:G&gt;C</t>
  </si>
  <si>
    <t>chr16:2062619-2062620:C&gt;G</t>
  </si>
  <si>
    <t>chr16:2062653-2062657:TCTG&gt;-</t>
  </si>
  <si>
    <t>chr16:2063053-2063054:G&gt;A</t>
  </si>
  <si>
    <t>chr16:2063053-2063054:G&gt;T</t>
  </si>
  <si>
    <t>chr16:2063054-2063055:T&gt;G</t>
  </si>
  <si>
    <t>chr16:2063056-2063057:C&gt;T</t>
  </si>
  <si>
    <t>chr16:2063057-2063058:G&gt;A</t>
  </si>
  <si>
    <t>chr16:2063057-2063058:G&gt;C</t>
  </si>
  <si>
    <t>chr16:2063059-2063060:G&gt;A</t>
  </si>
  <si>
    <t>chr16:2063066-2063067:C&gt;A</t>
  </si>
  <si>
    <t>chr16:2063066-2063067:C&gt;T</t>
  </si>
  <si>
    <t>chr16:2063067-2063068:G&gt;A</t>
  </si>
  <si>
    <t>chr16:2063070-2063071:C&gt;T</t>
  </si>
  <si>
    <t>chr16:2063123-2063124:A&gt;G</t>
  </si>
  <si>
    <t>chr16:2064427-2064428:G&gt;A</t>
  </si>
  <si>
    <t>chr16:2064427-2064428:G&gt;T</t>
  </si>
  <si>
    <t>chr16:2064428-2064429:T&gt;A</t>
  </si>
  <si>
    <t>chr16:2064428-2064429:T&gt;C</t>
  </si>
  <si>
    <t>chr16:2064431-2064432:G&gt;A</t>
  </si>
  <si>
    <t>chr16:2064431-2064432:G&gt;T</t>
  </si>
  <si>
    <t>chr16:2064434-2064435:C&gt;A</t>
  </si>
  <si>
    <t>chr16:2064434-2064435:C&gt;T</t>
  </si>
  <si>
    <t>chr16:2064435-2064436:C&gt;T</t>
  </si>
  <si>
    <t>chr16:2064436-2064437:G&gt;A</t>
  </si>
  <si>
    <t>chr16:2064442-2064443:C&gt;T</t>
  </si>
  <si>
    <t>chr16:2064445-2064446:G&gt;A</t>
  </si>
  <si>
    <t>chr16:2064508-2064511:CTC&gt;-</t>
  </si>
  <si>
    <t>chr16:2065635-2065636:G&gt;A</t>
  </si>
  <si>
    <t>chr16:2065636-2065637:T&gt;C</t>
  </si>
  <si>
    <t>chr16:2065639-2065640:G&gt;-</t>
  </si>
  <si>
    <t>chr16:2065644-2065645:C&gt;A</t>
  </si>
  <si>
    <t>chr16:2065649-2065650:C&gt;T</t>
  </si>
  <si>
    <t>chr16:2065650-2065651:G&gt;A</t>
  </si>
  <si>
    <t>chr16:2065662-2065663:C&gt;A</t>
  </si>
  <si>
    <t>chr16:2065664-2065665:C&gt;T</t>
  </si>
  <si>
    <t>chr16:2065682-2065683:C&gt;G</t>
  </si>
  <si>
    <t>chr16:2070578-2070579:G&gt;A</t>
  </si>
  <si>
    <t>chr16:2070578-2070579:G&gt;C</t>
  </si>
  <si>
    <t>chr16:2070578-2070579:G&gt;T</t>
  </si>
  <si>
    <t>chr16:2070579-2070580:T&gt;C</t>
  </si>
  <si>
    <t>chr16:2070581-2070582:T&gt;C</t>
  </si>
  <si>
    <t>chr16:2070583-2070584:G&gt;A</t>
  </si>
  <si>
    <t>chr16:2070586-2070587:G&gt;A</t>
  </si>
  <si>
    <t>chr16:2070587-2070588:C&gt;T</t>
  </si>
  <si>
    <t>chr16:2070595-2070596:G&gt;A</t>
  </si>
  <si>
    <t>chr16:2070597-2070598:G&gt;A</t>
  </si>
  <si>
    <t>chr16:2070597-2070598:G&gt;C</t>
  </si>
  <si>
    <t>chr16:2070623-2070624:G&gt;A</t>
  </si>
  <si>
    <t>chr16:2071616-2071617:G&gt;A</t>
  </si>
  <si>
    <t>chr16:2071616-2071617:G&gt;C</t>
  </si>
  <si>
    <t>chr16:2071616-2071617:G&gt;T</t>
  </si>
  <si>
    <t>chr16:2071617-2071618:T&gt;A</t>
  </si>
  <si>
    <t>chr16:2071617-2071618:T&gt;C</t>
  </si>
  <si>
    <t>chr16:2071619-2071620:C&gt;T</t>
  </si>
  <si>
    <t>chr16:2071620-2071621:G&gt;A</t>
  </si>
  <si>
    <t>chr16:2071620-2071621:G&gt;T</t>
  </si>
  <si>
    <t>chr16:2071621-2071622:C&gt;A</t>
  </si>
  <si>
    <t>chr16:2071621-2071622:C&gt;T</t>
  </si>
  <si>
    <t>chr16:2071622-2071623:G&gt;A</t>
  </si>
  <si>
    <t>chr16:2071624-2071625:G&gt;T</t>
  </si>
  <si>
    <t>chr16:2071629-2071630:C&gt;T</t>
  </si>
  <si>
    <t>chr16:2071630-2071631:G&gt;A</t>
  </si>
  <si>
    <t>chr16:2071635-2071636:C&gt;T</t>
  </si>
  <si>
    <t>chr16:2071639-2071640:C&gt;T</t>
  </si>
  <si>
    <t>chr16:2071675-2071676:G&gt;C</t>
  </si>
  <si>
    <t>chr16:2071938-2071939:G&gt;C</t>
  </si>
  <si>
    <t>chr16:2071945-2071946:C&gt;T</t>
  </si>
  <si>
    <t>chr16:2071946-2071947:G&gt;A</t>
  </si>
  <si>
    <t>chr16:2071949-2071954:CAGGG&gt;-</t>
  </si>
  <si>
    <t>chr16:2071961-2071962:G&gt;A</t>
  </si>
  <si>
    <t>chr16:2071968-2071969:G&gt;A</t>
  </si>
  <si>
    <t>chr16:2071976-2071977:A&gt;G</t>
  </si>
  <si>
    <t>chr16:2072363-2072364:G&gt;A</t>
  </si>
  <si>
    <t>chr16:2072363-2072364:G&gt;T</t>
  </si>
  <si>
    <t>chr16:2072364-2072365:T&gt;G</t>
  </si>
  <si>
    <t>chr16:2072365-2072366:A&gt;C</t>
  </si>
  <si>
    <t>chr16:2072366-2072367:C&gt;G</t>
  </si>
  <si>
    <t>chr16:2072373-2072374:C&gt;T</t>
  </si>
  <si>
    <t>chr16:2072374-2072375:G&gt;A</t>
  </si>
  <si>
    <t>chr16:2072382-2072383:G&gt;-</t>
  </si>
  <si>
    <t>chr16:2072387-2072388:G&gt;C</t>
  </si>
  <si>
    <t>chr16:2072394-2072395:G&gt;-</t>
  </si>
  <si>
    <t>chr16:2072983-2072984:G&gt;A</t>
  </si>
  <si>
    <t>chr16:2072983-2072984:G&gt;C</t>
  </si>
  <si>
    <t>chr16:2072983-2072984:G&gt;T</t>
  </si>
  <si>
    <t>chr16:2072984-2072985:T&gt;A</t>
  </si>
  <si>
    <t>chr16:2072984-2072985:T&gt;C</t>
  </si>
  <si>
    <t>chr16:2072984-2072988:TAGG&gt;-</t>
  </si>
  <si>
    <t>chr16:2072987-2072988:G&gt;A</t>
  </si>
  <si>
    <t>chr16:2072988-2072989:A&gt;T</t>
  </si>
  <si>
    <t>chr16:2072989-2072990:G&gt;A</t>
  </si>
  <si>
    <t>chr16:2072990-2072991:G&gt;A</t>
  </si>
  <si>
    <t>chr16:2073002-2073003:C&gt;T</t>
  </si>
  <si>
    <t>chr16:2073006-2073007:C&gt;T</t>
  </si>
  <si>
    <t>chr16:2074389-2074390:G&gt;A</t>
  </si>
  <si>
    <t>chr16:2074390-2074391:T&gt;C</t>
  </si>
  <si>
    <t>chr16:2074390-2074391:T&gt;G</t>
  </si>
  <si>
    <t>chr16:2074392-2074393:A&gt;G</t>
  </si>
  <si>
    <t>chr16:2074393-2074394:G&gt;A</t>
  </si>
  <si>
    <t>chr16:2074393-2074394:G&gt;C</t>
  </si>
  <si>
    <t>chr16:2074394-2074395:T&gt;G</t>
  </si>
  <si>
    <t>chr16:2074397-2074398:C&gt;G</t>
  </si>
  <si>
    <t>chr16:2074397-2074398:C&gt;T</t>
  </si>
  <si>
    <t>chr16:2074398-2074399:C&gt;T</t>
  </si>
  <si>
    <t>chr16:2074406-2074407:C&gt;T</t>
  </si>
  <si>
    <t>chr16:2074411-2074412:C&gt;T</t>
  </si>
  <si>
    <t>chr16:2074414-2074415:G&gt;A</t>
  </si>
  <si>
    <t>chr16:2074419-2074420:C&gt;T</t>
  </si>
  <si>
    <t>chr16:2074433-2074434:T&gt;A</t>
  </si>
  <si>
    <t>chr16:2075892-2075893:G&gt;A</t>
  </si>
  <si>
    <t>chr16:2075892-2075893:G&gt;C</t>
  </si>
  <si>
    <t>chr16:2075892-2075893:G&gt;T</t>
  </si>
  <si>
    <t>chr16:2075893-2075893:-&gt;G</t>
  </si>
  <si>
    <t>chr16:2075893-2075894:T&gt;C</t>
  </si>
  <si>
    <t>chr16:2075896-2075897:G&gt;A</t>
  </si>
  <si>
    <t>chr16:2075901-2075902:C&gt;T</t>
  </si>
  <si>
    <t>chr16:2075902-2075903:G&gt;A</t>
  </si>
  <si>
    <t>chr16:2075905-2075906:C&gt;G</t>
  </si>
  <si>
    <t>chr16:2075906-2075907:C&gt;T</t>
  </si>
  <si>
    <t>chr16:2075933-2075934:C&gt;T</t>
  </si>
  <si>
    <t>chr16:2075935-2075936:C&gt;G</t>
  </si>
  <si>
    <t>chr16:2075946-2075947:G&gt;C</t>
  </si>
  <si>
    <t>chr16:2075960-2075961:C&gt;T</t>
  </si>
  <si>
    <t>chr16:2076170-2076171:G&gt;A</t>
  </si>
  <si>
    <t>chr16:2076170-2076171:G&gt;T</t>
  </si>
  <si>
    <t>chr16:2076171-2076172:T&gt;C</t>
  </si>
  <si>
    <t>chr16:2076172-2076173:G&gt;A</t>
  </si>
  <si>
    <t>chr16:2076173-2076174:G&gt;A</t>
  </si>
  <si>
    <t>chr16:2076174-2076175:G&gt;A</t>
  </si>
  <si>
    <t>chr16:2076175-2076176:C&gt;G</t>
  </si>
  <si>
    <t>chr16:2076175-2076176:C&gt;T</t>
  </si>
  <si>
    <t>chr16:2076182-2076183:C&gt;T</t>
  </si>
  <si>
    <t>chr16:2076183-2076184:C&gt;T</t>
  </si>
  <si>
    <t>chr16:2076184-2076185:G&gt;A</t>
  </si>
  <si>
    <t>chr16:2076189-2076190:A&gt;C</t>
  </si>
  <si>
    <t>chr16:2076585-2076586:G&gt;T</t>
  </si>
  <si>
    <t>chr16:2076587-2076588:A&gt;G</t>
  </si>
  <si>
    <t>chr16:2076588-2076589:C&gt;T</t>
  </si>
  <si>
    <t>chr16:2076589-2076590:G&gt;A</t>
  </si>
  <si>
    <t>chr16:2076593-2076594:T&gt;C</t>
  </si>
  <si>
    <t>chr16:2076596-2076596:-&gt;C</t>
  </si>
  <si>
    <t>chr16:2076596-2076597:G&gt;A</t>
  </si>
  <si>
    <t>chr16:2076600-2076601:G&gt;A</t>
  </si>
  <si>
    <t>chr16:2076664-2076665:C&gt;T</t>
  </si>
  <si>
    <t>chr16:2077729-2077730:G&gt;T</t>
  </si>
  <si>
    <t>chr16:2077730-2077731:C&gt;T</t>
  </si>
  <si>
    <t>chr16:2077731-2077732:G&gt;A</t>
  </si>
  <si>
    <t>chr16:2077740-2077741:G&gt;A</t>
  </si>
  <si>
    <t>chr16:2077744-2077745:G&gt;T</t>
  </si>
  <si>
    <t>chr16:2079196-2079197:G&gt;A</t>
  </si>
  <si>
    <t>chr16:2079196-2079197:G&gt;C</t>
  </si>
  <si>
    <t>chr16:2079197-2079198:T&gt;A</t>
  </si>
  <si>
    <t>chr16:2079197-2079198:T&gt;C</t>
  </si>
  <si>
    <t>chr16:2079198-2079199:C&gt;A</t>
  </si>
  <si>
    <t>chr16:2079203-2079204:C&gt;A</t>
  </si>
  <si>
    <t>chr16:2079203-2079204:C&gt;T</t>
  </si>
  <si>
    <t>chr16:2079204-2079205:G&gt;A</t>
  </si>
  <si>
    <t>chr16:2079204-2079205:G&gt;T</t>
  </si>
  <si>
    <t>chr16:2079229-2079230:C&gt;T</t>
  </si>
  <si>
    <t>chr16:2079428-2079429:G&gt;-</t>
  </si>
  <si>
    <t>chr16:2079428-2079429:G&gt;A</t>
  </si>
  <si>
    <t>chr16:2079428-2079429:G&gt;C</t>
  </si>
  <si>
    <t>chr16:2079428-2079429:G&gt;T</t>
  </si>
  <si>
    <t>chr16:2079431-2079431:-&gt;A</t>
  </si>
  <si>
    <t>chr16:2079432-2079433:C&gt;A</t>
  </si>
  <si>
    <t>chr16:2079433-2079434:T&gt;G</t>
  </si>
  <si>
    <t>chr16:2079437-2079438:C&gt;T</t>
  </si>
  <si>
    <t>chr16:2079447-2079448:C&gt;T</t>
  </si>
  <si>
    <t>chr16:2079472-2079473:G&gt;A</t>
  </si>
  <si>
    <t>chr16:2079669-2079670:G&gt;-</t>
  </si>
  <si>
    <t>chr16:2079669-2079670:G&gt;A</t>
  </si>
  <si>
    <t>chr16:2079670-2079671:T&gt;G</t>
  </si>
  <si>
    <t>chr16:2079673-2079674:G&gt;A</t>
  </si>
  <si>
    <t>chr16:2079673-2079674:G&gt;T</t>
  </si>
  <si>
    <t>chr16:2079675-2079676:C&gt;T</t>
  </si>
  <si>
    <t>chr16:2079683-2079684:C&gt;T</t>
  </si>
  <si>
    <t>chr16:2080377-2080378:G&gt;A</t>
  </si>
  <si>
    <t>chr16:2080377-2080378:G&gt;C</t>
  </si>
  <si>
    <t>chr16:2080377-2080378:G&gt;T</t>
  </si>
  <si>
    <t>chr16:2080380-2080381:C&gt;T</t>
  </si>
  <si>
    <t>chr16:2080382-2080383:G&gt;A</t>
  </si>
  <si>
    <t>chr16:2080385-2080386:C&gt;T</t>
  </si>
  <si>
    <t>chr16:2080386-2080387:G&gt;A</t>
  </si>
  <si>
    <t>chr16:2080400-2080401:C&gt;T</t>
  </si>
  <si>
    <t>chr16:2080401-2080402:G&gt;C</t>
  </si>
  <si>
    <t>chr16:2080419-2080419:-&gt;C</t>
  </si>
  <si>
    <t>chr16:2081798-2081799:G&gt;A</t>
  </si>
  <si>
    <t>chr16:2081798-2081799:G&gt;C</t>
  </si>
  <si>
    <t>chr16:2081802-2081803:G&gt;A</t>
  </si>
  <si>
    <t>chr16:2081805-2081806:G&gt;C</t>
  </si>
  <si>
    <t>chr16:2081807-2081808:A&gt;G</t>
  </si>
  <si>
    <t>chr16:2081812-2081813:G&gt;A</t>
  </si>
  <si>
    <t>chr16:2081853-2081854:C&gt;T</t>
  </si>
  <si>
    <t>chr16:2082508-2082509:C&gt;T</t>
  </si>
  <si>
    <t>chr16:2082509-2082510:G&gt;A</t>
  </si>
  <si>
    <t>chr16:2082511-2082512:C&gt;G</t>
  </si>
  <si>
    <t>chr16:2082514-2082516:TC&gt;-</t>
  </si>
  <si>
    <t>chr16:2082516-2082516:-&gt;TC</t>
  </si>
  <si>
    <t>chr16:2082518-2082520:AG&gt;-</t>
  </si>
  <si>
    <t>chr16:2082540-2082541:C&gt;T</t>
  </si>
  <si>
    <t>chr16:2082544-2082545:A&gt;G</t>
  </si>
  <si>
    <t>chr16:2082579-2082580:C&gt;A</t>
  </si>
  <si>
    <t>chr16:2082581-2082582:G&gt;A</t>
  </si>
  <si>
    <t>chr16:2083816-2083817:G&gt;A</t>
  </si>
  <si>
    <t>chr16:2083816-2083817:G&gt;T</t>
  </si>
  <si>
    <t>chr16:2083817-2083818:T&gt;A</t>
  </si>
  <si>
    <t>chr16:2083823-2083823:-&gt;AGTG</t>
  </si>
  <si>
    <t>chr16:2083832-2083833:G&gt;A</t>
  </si>
  <si>
    <t>chr16:2084715-2084716:G&gt;-</t>
  </si>
  <si>
    <t>chr16:2084715-2084716:G&gt;A</t>
  </si>
  <si>
    <t>chr16:2084715-2084716:G&gt;T</t>
  </si>
  <si>
    <t>chr16:2084716-2084717:T&gt;A</t>
  </si>
  <si>
    <t>chr16:2084716-2084717:T&gt;C</t>
  </si>
  <si>
    <t>chr16:2084720-2084721:C&gt;T</t>
  </si>
  <si>
    <t>chr16:2084721-2084722:C&gt;A</t>
  </si>
  <si>
    <t>chr16:2084724-2084725:T&gt;C</t>
  </si>
  <si>
    <t>chr16:2084730-2084731:C&gt;G</t>
  </si>
  <si>
    <t>chr16:2084731-2084732:C&gt;T</t>
  </si>
  <si>
    <t>chr16:2084732-2084733:G&gt;A</t>
  </si>
  <si>
    <t>chr16:2084739-2084740:G&gt;T</t>
  </si>
  <si>
    <t>chr16:2084801-2084802:G&gt;-</t>
  </si>
  <si>
    <t>chr16:2085026-2085027:G&gt;A</t>
  </si>
  <si>
    <t>chr16:2085026-2085027:G&gt;T</t>
  </si>
  <si>
    <t>chr16:2085027-2085028:T&gt;A</t>
  </si>
  <si>
    <t>chr16:2085027-2085028:T&gt;C</t>
  </si>
  <si>
    <t>chr16:2085027-2085028:T&gt;G</t>
  </si>
  <si>
    <t>chr16:2085029-2085030:G&gt;A</t>
  </si>
  <si>
    <t>chr16:2085031-2085032:C&gt;T</t>
  </si>
  <si>
    <t>chr16:2085032-2085033:G&gt;C</t>
  </si>
  <si>
    <t>chr16:2085037-2085038:C&gt;T</t>
  </si>
  <si>
    <t>chr16:2085069-2085070:C&gt;T</t>
  </si>
  <si>
    <t>chr16:2085071-2085072:C&gt;T</t>
  </si>
  <si>
    <t>chr16:2085072-2085073:G&gt;A</t>
  </si>
  <si>
    <t>chr16:2085075-2085076:T&gt;A</t>
  </si>
  <si>
    <t>chr16:2085105-2085106:G&gt;A</t>
  </si>
  <si>
    <t>chr16:2085322-2085323:G&gt;A</t>
  </si>
  <si>
    <t>chr16:2085322-2085323:G&gt;C</t>
  </si>
  <si>
    <t>chr16:2085322-2085323:G&gt;T</t>
  </si>
  <si>
    <t>chr16:2085323-2085328:TGAGG&gt;-</t>
  </si>
  <si>
    <t>chr16:2085328-2085329:C&gt;T</t>
  </si>
  <si>
    <t>chr16:2085331-2085332:C&gt;T</t>
  </si>
  <si>
    <t>chr16:2085332-2085333:G&gt;A</t>
  </si>
  <si>
    <t>chr16:2085337-2085338:C&gt;T</t>
  </si>
  <si>
    <t>chr16:2085338-2085339:G&gt;A</t>
  </si>
  <si>
    <t>chr16:2085339-2085340:G&gt;A</t>
  </si>
  <si>
    <t>chr16:2085362-2085363:G&gt;C</t>
  </si>
  <si>
    <t>chr16:2086379-2086380:G&gt;A</t>
  </si>
  <si>
    <t>chr16:2086380-2086381:T&gt;A</t>
  </si>
  <si>
    <t>chr16:2086381-2086381:-&gt;GT</t>
  </si>
  <si>
    <t>chr16:2086381-2086382:A&gt;G</t>
  </si>
  <si>
    <t>chr16:2086382-2086383:C&gt;A</t>
  </si>
  <si>
    <t>chr16:2086382-2086383:C&gt;T</t>
  </si>
  <si>
    <t>chr16:2086390-2086391:C&gt;T</t>
  </si>
  <si>
    <t>chr16:2086391-2086392:G&gt;A</t>
  </si>
  <si>
    <t>chr16:2086396-2086397:C&gt;T</t>
  </si>
  <si>
    <t>chr16:2086398-2086399:C&gt;T</t>
  </si>
  <si>
    <t>chr16:2086412-2086413:C&gt;T</t>
  </si>
  <si>
    <t>chr16:2086426-2086427:C&gt;T</t>
  </si>
  <si>
    <t>chr16:2086453-2086454:C&gt;T</t>
  </si>
  <si>
    <t>chr16:2086454-2086455:G&gt;A</t>
  </si>
  <si>
    <t>chr16:2086871-2086872:G&gt;-</t>
  </si>
  <si>
    <t>chr16:2086871-2086872:G&gt;A</t>
  </si>
  <si>
    <t>chr16:2086871-2086872:G&gt;C</t>
  </si>
  <si>
    <t>chr16:2086871-2086872:G&gt;T</t>
  </si>
  <si>
    <t>chr16:2086872-2086872:-&gt;A</t>
  </si>
  <si>
    <t>chr16:2086872-2086872:-&gt;G</t>
  </si>
  <si>
    <t>chr16:2086872-2086873:T&gt;G</t>
  </si>
  <si>
    <t>chr16:2086873-2086873:-&gt;T</t>
  </si>
  <si>
    <t>chr16:2086875-2086876:G&gt;-</t>
  </si>
  <si>
    <t>chr16:2086875-2086876:G&gt;A</t>
  </si>
  <si>
    <t>chr16:2086882-2086883:G&gt;A</t>
  </si>
  <si>
    <t>chr16:2086885-2086886:G&gt;A</t>
  </si>
  <si>
    <t>chr16:2086922-2086922:-&gt;T</t>
  </si>
  <si>
    <t>chr16:2087941-2087942:G&gt;-</t>
  </si>
  <si>
    <t>chr16:2087941-2087942:G&gt;A</t>
  </si>
  <si>
    <t>chr16:2087941-2087942:G&gt;T</t>
  </si>
  <si>
    <t>chr16:2087942-2087943:T&gt;C</t>
  </si>
  <si>
    <t>chr16:2087942-2087943:T&gt;G</t>
  </si>
  <si>
    <t>chr16:2087947-2087948:C&gt;T</t>
  </si>
  <si>
    <t>chr16:2087948-2087949:C&gt;T</t>
  </si>
  <si>
    <t>chr16:2087949-2087950:G&gt;A</t>
  </si>
  <si>
    <t>chr16:2087957-2087957:-&gt;G</t>
  </si>
  <si>
    <t>chr16:2087980-2087981:G&gt;A</t>
  </si>
  <si>
    <t>chr16:2087982-2087983:C&gt;T</t>
  </si>
  <si>
    <t>chr16:2087983-2087984:G&gt;A</t>
  </si>
  <si>
    <t>chr16:2088139-2088140:G&gt;A</t>
  </si>
  <si>
    <t>chr16:2088139-2088140:G&gt;C</t>
  </si>
  <si>
    <t>chr16:2088139-2088140:G&gt;T</t>
  </si>
  <si>
    <t>chr16:2088140-2088140:-&gt;G</t>
  </si>
  <si>
    <t>chr16:2088140-2088141:T&gt;A</t>
  </si>
  <si>
    <t>chr16:2088140-2088141:T&gt;C</t>
  </si>
  <si>
    <t>chr16:2088140-2088141:T&gt;G</t>
  </si>
  <si>
    <t>chr16:2088140-2088142:TG&gt;-</t>
  </si>
  <si>
    <t>chr16:2088141-2088141:-&gt;T</t>
  </si>
  <si>
    <t>chr16:2088141-2088142:G&gt;C</t>
  </si>
  <si>
    <t>chr16:2088142-2088143:A&gt;C</t>
  </si>
  <si>
    <t>chr16:2088142-2088143:A&gt;G</t>
  </si>
  <si>
    <t>chr16:2088142-2088143:A&gt;T</t>
  </si>
  <si>
    <t>chr16:2088143-2088144:G&gt;A</t>
  </si>
  <si>
    <t>chr16:2088143-2088144:G&gt;C</t>
  </si>
  <si>
    <t>chr16:2088143-2088144:G&gt;T</t>
  </si>
  <si>
    <t>chr16:2088145-2088145:-&gt;T</t>
  </si>
  <si>
    <t>chr16:2088145-2088146:G&gt;C</t>
  </si>
  <si>
    <t>chr16:2088150-2088150:-&gt;G</t>
  </si>
  <si>
    <t>chr16:2088161-2088162:G&gt;A</t>
  </si>
  <si>
    <t>chr16:2088175-2088176:C&gt;T</t>
  </si>
  <si>
    <t>chr16:2088181-2088182:C&gt;T</t>
  </si>
  <si>
    <t>chr16:2088325-2088326:G&gt;-</t>
  </si>
  <si>
    <t>chr16:2088326-2088327:T&gt;G</t>
  </si>
  <si>
    <t>chr16:2088327-2088328:A&gt;C</t>
  </si>
  <si>
    <t>chr16:2088330-2088331:G&gt;A</t>
  </si>
  <si>
    <t>chr16:2088331-2088332:A&gt;G</t>
  </si>
  <si>
    <t>chr16:2088333-2088334:T&gt;C</t>
  </si>
  <si>
    <t>chr16:2088342-2088343:C&gt;G</t>
  </si>
  <si>
    <t>chr16:2088349-2088350:C&gt;T</t>
  </si>
  <si>
    <t>chr16:2088362-2088363:C&gt;G</t>
  </si>
  <si>
    <t>GCGCGGTGGCGCGGCGCGGGGTAAGTGGCGGTCCCCACGGGGCAAGTGGCGGTCCCCACGGGGCAGCGGCCTAGAGAGGCGGACCCCGCAGTGTCCGGGTCCCGGGCCCTCA</t>
  </si>
  <si>
    <t>TCACCGCGGAAATACTGAGAGTGAGTGAGCTACCTGTGTCTTTGCTAGGCTAGAGGGAAATGCAGAGAAGGCTGGGTTTGGTCTTGCACCAGGTTCTGTGGGAGACGGGTTG</t>
  </si>
  <si>
    <t>AAACCAAGAAATTTGAAGAGGTAGGTTTATCCAGTTGAGCTACTAGAGAGAGGCACGTAGACTATTCAGAGCCTGAGTTTGCTTTTTTTAGGAACATGGTTGACAGCTGACT</t>
  </si>
  <si>
    <t>AGGCCATCGTGCAGGGGCAGGTAAGGCCCAGGGCGACGCTGGGATGGGTGACGTCAGGCTGCCCACTGACTGTCCTGTCCCTGCTGGGCCGTGTTTGGACTCCTGCCTCGGT</t>
  </si>
  <si>
    <t>CTACTTGGAGGAAGAGCTGGGTGGGTGCCACCTTGGGTTGGAGGTTTCTCTGGCCTTGACGATCAAGTGTAACCTGGATGGGAAGGACCTGGGGCTGGGGAGGGGCTGCCGT</t>
  </si>
  <si>
    <t>TACATCGCAAGGATGGTTCAGTAAGAAAAGAATTGAGATCCTGTTCTGATAATGGTCCTAAGTTCAGCTCCGCAGTGAATAAAGTTGAAACCACCAAAAAAATAGAGGTTGG</t>
  </si>
  <si>
    <t>CGTCCTCTGTGGACATAGAGGTCAGTGCCTCCCCTCCCCAGGGCCGGCCCATTTCACCCTGGTTTCTGGGAGGCTGGGGCTTGGGGGTTGAGCCCTGTGTGCCACCTGCTGG</t>
  </si>
  <si>
    <t>TCTGCGAGCCTTGCTGGAAGGTGGGGTTTCTGAAACTGCTCTGGAAGGTTCCTGAGAGCACATGGATGGGACAAGGGCCATCCTGTCTCCCATGAATGGTTGTCTGATTCTT</t>
  </si>
  <si>
    <t>TGCCACCTCATGGAGGACAGGTGAGTGTGGTGGGTGGGGCGCAGGGCAGTGGAGGCCAGCACAGCCCTCGGGGCAGCTCCAGTGTCCCTTGCCAAGCACACACTGGCTTAGA</t>
  </si>
  <si>
    <t>TGTTGCCATCATTTTACCAGGTAAGGCGGTTTCTGTGTGCAGTGAGCTGGCAGGAACGGGAGAGCTCCCCTCACGCCTGCCCACCCATCCCACTGGGGGTCCTGCTGCGGGG</t>
  </si>
  <si>
    <t>GGCTCCTTCAGCAGCTCCAGGTGGGGTGGGGGCAGGAGCTCCGGGGAGCACCGGGAACCCAGACAGGCAGGCTCGGCCCACTCAGAAGATGGTACCTTGGGCCCCATCTCTG</t>
  </si>
  <si>
    <t>GATGTGCGGACCAGAGGCCTGTGAGACCCCCTCCTGGGTGGGGCCTTTGGGCTTTGGCTGGTGGGGAGGGGCCGGGTGCTGGGTGAAGTGCAGCTTTCTGAGCCTCAGAAGC</t>
  </si>
  <si>
    <t>CTGATGGAGAGATTCTTCAGGTAGGGGGTCCTCTGTAGCCTTGCCTGGCACCTGGAGCCTGGCCCTGTCTCTGTCTGGGGCCCACCCGGGCTGGGTCTCAGGATGCCCGATG</t>
  </si>
  <si>
    <t>TCAACAGGCAGTTCTATGAGGTGCGTGTCCAGGCGGCCGCAGCTGGGGGCTCAGGGCTATTTCTCCGTGGGCGGGCTGTCTCTGTTGTGCACGTGCTCCCGCAGAGCCGGGC</t>
  </si>
  <si>
    <t>TGCTGGACATCATCGAGAAGGTGAGAGCCGTTGTACCCGGGGCCGGGTGCTAGCGTGCCAGAGCTCCGTGGGCAGCAATGGCCTCTGGGCCCTCTGTCCTCCTCTTCGAGTG</t>
  </si>
  <si>
    <t>GGCTTCTGGTCATCCTTCAGGTGGGTGTTCTGCACGAGGCCTCTGCTCCCGGGGCGCGCATGGCTAGCGTCCACCAGCTGCATCTGCGTTGTGTTGGAGTCTGTTCCCCAGC</t>
  </si>
  <si>
    <t>CGAGCAGCATCCGGCTGCAGGTATGGTGGCTGGGGTTGCGCAGCCAGTTCCTGGGGGCCCAGCCAGGTATCCCCGTCTCGGCAGGTGTGGTTCCTGGAAGCTGCAGAGACGG</t>
  </si>
  <si>
    <t>TACTGCGTCTGCGACTACATGTACGCGGGACCTCGCCCACGGCCCATGAGGCTCAGGGCGTCAGAGGCGCTGGGGCTGTGGTGGCGCTGTTTGCATGTCTGAGGGATGTCCC</t>
  </si>
  <si>
    <t>TGCTGCAGTGCTTGAAGCAGGTGAGTGGGGCCGGGCAGGGACCATCCGTCCCACGTTGGGCCAGGAGGACAGGGAGCTGCCACCTGCCTGCTGGGCCTCCCTCCCTGTCTGG</t>
  </si>
  <si>
    <t>GCTCTGCTCTCTGCTCCATGGTACCATGGCCGGCCTGGGGTTGGGGTGGGGGACCCAGTAGGGTTTTTCCCCAAAAGACTGCGAGCCTCTGGGCAGAGCGAGTGAGACCCTT</t>
  </si>
  <si>
    <t>ACCTGGACAAAACCAAACAGGTAGGAGGTCAGAGCAGGACAGGCGAGCTTGATGGGGCCTGGGATTCGAGGGCCTGGCCCAGGTAGGCCCCACATTTTTCTCATAAACGAGT</t>
  </si>
  <si>
    <t>ACTGCTGGAGTTCCTGTCCAGTGAGTCCCCGCCCTGCCTGCGCATGCACCCGAGAGGTTCGGGCTGTGTAACCTGTGCGGGCTTCTCTGGTGCCCTCTCTCAGGACTCCTTG</t>
  </si>
  <si>
    <t>CCGTACACCAACCCCTCCAAGTGAGTGGTCGCCCCAGGCCCTGTGCCTCCCAGCCGTGGCCCCCGCTAGGCCTTGCGGCAGAAAGCCCCGGCAGCCTTTGTCCCCAAGGCCT</t>
  </si>
  <si>
    <t>TTGTCCCTTTCATCACTAAGGTGGGCTCAGGGCCGGTGAAGGCTGTGTCTCTCGGTAGGCCAGGGCTTGCTTTGCCCTTGGCTGTCCATGGTCGGGCAGAGTGACAGGCAGG</t>
  </si>
  <si>
    <t>CTCAACGAGAGACCCAAGAGGTACGGCCTGCGGGGGTGTGCCTGGAGTCGGTGTGGGGTGGGGAAGGACATGGGGCTGTGGCCTGCCTGACGGTGCCTCCAAGTCAGTGAGT</t>
  </si>
  <si>
    <t>TCTGAACATGTGGTCCGCAGGTAGCGGGACTGTCGGGTGGGGGGCACGGACCCTGGAGCTTGGCCCCGTGAGCACCTGGGTGGCAGTGCATGGGGCTGCTTGCATGACCTCA</t>
  </si>
  <si>
    <t>CGATACGTCTTCTCCAACTTCACGGCTGTCCCGAAGAGGTCCAGGCGGCACTACAGGGCTGGGCGGGCCTGCGGGAGCTCCACGGGCAAGCTGGGTTTCACGCTCCCTGTCT</t>
  </si>
  <si>
    <t>CAGTCCGGCCCGGAGTCGAGGTGACTGCACCTTCCTTTCCTCCGCGCCTGCCAGCCTCGACACCGGCTGTCCCGAGCCCAGGCCCACGTGGCACCCTCGTACCAGCCTGGGG</t>
  </si>
  <si>
    <t>TCGGGTCCGTTCCATGTCGGGTGAGCCTTGGCCCCAGCCACCTCCACACAGGCACCGGGGCTCCCTCAGTTGCTGCTGGTCCCAGTGTTCAGGAAGGCCCCGAGCCCAGGGG</t>
  </si>
  <si>
    <t>CCTGGTCCGGAGGCCCACAGGTACTGGGCGGGGCTGGCCTGAGCGCCATCTTTCTGCCAGTCACCCACAGAGCTGTGGACACTCAGGGGCGATTGCAGACTTGGCCCTCTTG</t>
  </si>
  <si>
    <t>TCTGCCTCGCTCCAACACAGGTGAGTGGCATGGCGGGCCTTGGCACGGGCTCTGCTCCCACTGGCCTGGTGCTCCCGGTGACGGCAATGTGGCTCCTCTCTGCTGAGGGCGC</t>
  </si>
  <si>
    <t>CAGGAGCGTTTCCTGGGCAGGTATCGCCTCTCAGAGGGAAGCGGTTGGCTGCAGAGCGCCACTCTGCCTCATAGGTGCTGTGCTCGTCGCCTCATCCGCCCACCCCCATGGT</t>
  </si>
  <si>
    <t>GCACGGATGCCTACAGCAGGGTGAGTGTGGCTCAGAGCCTGGACCCTGCTGACCTCGGGGGGCTCCTTAGGGGAGGCAGGGCTCTGCGTGGGTGTGCCTGCACCCTGGGAAC</t>
  </si>
  <si>
    <t>GTGCCAGGCATCAACCCCAGGTGGGCCTCTTGCTTCCGGGCGGGGCTCCTGACACCTCTCCTGCGGGAACCTGGTGCCTCACTTGCCCCAGGCCGAGCGGGCTGGGGTGGGG</t>
  </si>
  <si>
    <t>CAATCCTGCTGCCCAATGAGGTAGGCGTGGCCTCCCTCTCCTGCATCCGCTGGAGCTGTGTGGCTCGGGTGAATGGTGGGGGGCCCAGCTCTGCTGCTGGGAGCTCAGGCTT</t>
  </si>
  <si>
    <t>TGTATGTTGGAGAAGGCCAGGTGAGGCTGCGGGGCCGGCCTAGGTGCCTGGACAGGGCCAGCTGGGCCTCAGCCTGCAGTGGGTAGGGAGTCTGGGCCCCCAACGCCCCACA</t>
  </si>
  <si>
    <t>GCACGATGACATCATGCAAGGTACGGCCTGGCGCCTACCCGCTCCTGCTGCCCCAGGCCTCAGGGCACGGCTCCCATCCAGTCCTGCTACCCCACGCCCTGGGGCATGGCCC</t>
  </si>
  <si>
    <t>TCAAGCTTGGCACCATCAAGGTGAGTGAGGGGCCGTCAGTGAGGCTGGGCCCCAGGCAGGTGCCCACTGCTGTGTCCCGGGTTGGTGGCAGGTCCTCCTCCCTGAGCTTCGG</t>
  </si>
  <si>
    <t>GTCCCTGCAGTGCAGGAAAGGTAGGGCCGGGTGGGGCCCTGCAGTGCAGGAAAGGTAGGGCCGGGTGGGGCCCTGCAGTGTGGCGCCAAGAGCCCTGGGCCTGGCGTGACCA</t>
  </si>
  <si>
    <t>GTGGCCCGCCAGATGGCCCTGCACGCAAATGTGAGTGGGGGTGGGTCCAGGCGTGAGCTGGTGGGACAGGCCCAGGTGCCACCTGATAGTGAGCTCACCCCCTGCCTACGTC</t>
  </si>
  <si>
    <t>TCAAGCGGCTCCGCCAGCGGGTAGGGAATATGGGGCTCCCTCAGCGGGGTGTGCTGGCTGCCCAAGCTGTGGGGCGGGTGTGTGGGCAGAGCGGTTGCCACGCCTCCCAGAC</t>
  </si>
  <si>
    <t>wt</t>
    <phoneticPr fontId="1" type="noConversion"/>
  </si>
  <si>
    <t>GCGCGGTGGCGCGGCGCGGGCTAAGTGGCGGTCCCCACGGGGCAAGTGGCGGTCCCCACGGGGCAGCGGCCTAGAGAGGCGGACCCCGCAGTGTCCGGGTCCCGGGCCCTCA</t>
  </si>
  <si>
    <t>GCGCGGTGGCGCGGCGCGGGTTAAGTGGCGGTCCCCACGGGGCAAGTGGCGGTCCCCACGGGGCAGCGGCCTAGAGAGGCGGACCCCGCAGTGTCCGGGTCCCGGGCCCTCA</t>
  </si>
  <si>
    <t>GCGCGGTGGCGCGGCGCGGGGCAAGTGGCGGTCCCCACGGGGCAAGTGGCGGTCCCCACGGGGCAGCGGCCTAGAGAGGCGGACCCCGCAGTGTCCGGGTCCCGGGCCCTCA</t>
  </si>
  <si>
    <t>GCGCGGTGGCGCGGCGCGGGGTAATTGGCGGTCCCCACGGGGCAAGTGGCGGTCCCCACGGGGCAGCGGCCTAGAGAGGCGGACCCCGCAGTGTCCGGGTCCCGGGCCCTCA</t>
  </si>
  <si>
    <t>TCACCGCGGAAATACTGAGAATGAGTGAGCTACCTGTGTCTTTGCTAGGCTAGAGGGAAATGCAGAGAAGGCTGGGTTTGGTCTTGCACCAGGTTCTGTGGGAGACGGGTTG</t>
  </si>
  <si>
    <t>TCACCGCGGAAATACTGAGACTGAGTGAGCTACCTGTGTCTTTGCTAGGCTAGAGGGAAATGCAGAGAAGGCTGGGTTTGGTCTTGCACCAGGTTCTGTGGGAGACGGGTTG</t>
  </si>
  <si>
    <t>TCACCGCGGAAATACTGAGAGCGAGTGAGCTACCTGTGTCTTTGCTAGGCTAGAGGGAAATGCAGAGAAGGCTGGGTTTGGTCTTGCACCAGGTTCTGTGGGAGACGGGTTG</t>
  </si>
  <si>
    <t>TCACCGCGGAAATACTGAGAGAGTGAGCTACCTGTGTCTTTGCTAGGCTAGAGGGAAATGCAGAGAAGGCTGGGTTTGGTCTTGCACCAGGTTCTGTGGGAGACGGGTTG</t>
  </si>
  <si>
    <t>TCACCGCGGAAATACTGAGAGTGAATGAGCTACCTGTGTCTTTGCTAGGCTAGAGGGAAATGCAGAGAAGGCTGGGTTTGGTCTTGCACCAGGTTCTGTGGGAGACGGGTTG</t>
  </si>
  <si>
    <t>TCACCGCGGAAATACTGAGAGTGAGTGAGGTACCTGTGTCTTTGCTAGGCTAGAGGGAAATGCAGAGAAGGCTGGGTTTGGTCTTGCACCAGGTTCTGTGGGAGACGGGTTG</t>
  </si>
  <si>
    <t>TCACCGCGGAAATACTGAGAGTGAGTGAGCTACGTGTGTCTTTGCTAGGCTAGAGGGAAATGCAGAGAAGGCTGGGTTTGGTCTTGCACCAGGTTCTGTGGGAGACGGGTTG</t>
  </si>
  <si>
    <t>TCACCGCGGAAATACTGAGAGTGAGTGAGCTACCTATGTCTTTGCTAGGCTAGAGGGAAATGCAGAGAAGGCTGGGTTTGGTCTTGCACCAGGTTCTGTGGGAGACGGGTTG</t>
  </si>
  <si>
    <t>TCACCGCGGAAATACTGAGAGTGAGTGAGCTACCTGTGTGTTTGCTAGGCTAGAGGGAAATGCAGAGAAGGCTGGGTTTGGTCTTGCACCAGGTTCTGTGGGAGACGGGTTG</t>
  </si>
  <si>
    <t>TCACCGCGGAAATACTGAGAGTGAGTGAGCTACCTGTGTCTTTGCTAGGCTAGAGGGAAATGCAGAGAAGGCTGGGTTTGGTCTTGCACTAGGTTCTGTGGGAGACGGGTTG</t>
  </si>
  <si>
    <t>AAACCAAGAAATTTGAAGAGATAGGTTTATCCAGTTGAGCTACTAGAGAGAGGCACGTAGACTATTCAGAGCCTGAGTTTGCTTTTTTTAGGAACATGGTTGACAGCTGACT</t>
  </si>
  <si>
    <t>AAACCAAGAAATTTGAAGAGTTAGGTTTATCCAGTTGAGCTACTAGAGAGAGGCACGTAGACTATTCAGAGCCTGAGTTTGCTTTTTTTAGGAACATGGTTGACAGCTGACT</t>
  </si>
  <si>
    <t>AAACCAAGAAATTTGAAGAGGAAGGTTTATCCAGTTGAGCTACTAGAGAGAGGCACGTAGACTATTCAGAGCCTGAGTTTGCTTTTTTTAGGAACATGGTTGACAGCTGACT</t>
  </si>
  <si>
    <t>AAACCAAGAAATTTGAAGAGGTGGGTTTATCCAGTTGAGCTACTAGAGAGAGGCACGTAGACTATTCAGAGCCTGAGTTTGCTTTTTTTAGGAACATGGTTGACAGCTGACT</t>
  </si>
  <si>
    <t>AAACCAAGAAATTTGAAGAGGTAAGTTTATCCAGTTGAGCTACTAGAGAGAGGCACGTAGACTATTCAGAGCCTGAGTTTGCTTTTTTTAGGAACATGGTTGACAGCTGACT</t>
  </si>
  <si>
    <t>AAACCAAGAAATTTGAAGAGGTAGTTTTATCCAGTTGAGCTACTAGAGAGAGGCACGTAGACTATTCAGAGCCTGAGTTTGCTTTTTTTAGGAACATGGTTGACAGCTGACT</t>
  </si>
  <si>
    <t>AAACCAAGAAATTTGAAGAGGTAGGTTTATCAAGTTGAGCTACTAGAGAGAGGCACGTAGACTATTCAGAGCCTGAGTTTGCTTTTTTTAGGAACATGGTTGACAGCTGACT</t>
  </si>
  <si>
    <t>AAACCAAGAAATTTGAAGAGGTAGGTTTATCCAGTTGGGCTACTAGAGAGAGGCACGTAGACTATTCAGAGCCTGAGTTTGCTTTTTTTAGGAACATGGTTGACAGCTGACT</t>
  </si>
  <si>
    <t>AAACCAAGAAATTTGAAGAGGTAGGTTTATCCAGTTGAACTACTAGAGAGAGGCACGTAGACTATTCAGAGCCTGAGTTTGCTTTTTTTAGGAACATGGTTGACAGCTGACT</t>
  </si>
  <si>
    <t>AAACCAAGAAATTTGAAGAGGTAGGTTTATCCAGTTGAGCTACTAGAGAGGCACGTAGACTATTCAGAGCCTGAGTTTGCTTTTTTTAGGAACATGGTTGACAGCTGACT</t>
  </si>
  <si>
    <t>AGGCCATCGTGCAGGGGCAGTAAGGCCCAGGGCGACGCTGGGATGGGTGACGTCAGGCTGCCCACTGACTGTCCTGTCCCTGCTGGGCCGTGTTTGGACTCCTGCCTCGGT</t>
  </si>
  <si>
    <t>AGGCCATCGTGCAGGGGCAGATAAGGCCCAGGGCGACGCTGGGATGGGTGACGTCAGGCTGCCCACTGACTGTCCTGTCCCTGCTGGGCCGTGTTTGGACTCCTGCCTCGGT</t>
  </si>
  <si>
    <t>AGGCCATCGTGCAGGGGCAGCTAAGGCCCAGGGCGACGCTGGGATGGGTGACGTCAGGCTGCCCACTGACTGTCCTGTCCCTGCTGGGCCGTGTTTGGACTCCTGCCTCGGT</t>
  </si>
  <si>
    <t>AGGCCATCGTGCAGGGGCAGGGAAGGCCCAGGGCGACGCTGGGATGGGTGACGTCAGGCTGCCCACTGACTGTCCTGTCCCTGCTGGGCCGTGTTTGGACTCCTGCCTCGGT</t>
  </si>
  <si>
    <t>AGGCCATCGTGCAGGGGCAGGTGTAAGGCCCAGGGCGACGCTGGGATGGGTGACGTCAGGCTGCCCACTGACTGTCCTGTCCCTGCTGGGCCGTGTTTGGACTCCTGCCTCGGT</t>
  </si>
  <si>
    <t>AGGCCATCGTGCAGGGGCAGGTAACGCCCAGGGCGACGCTGGGATGGGTGACGTCAGGCTGCCCACTGACTGTCCTGTCCCTGCTGGGCCGTGTTTGGACTCCTGCCTCGGT</t>
  </si>
  <si>
    <t>AGGCCATCGTGCAGGGGCAGGTAAGGCTCAGGGCGACGCTGGGATGGGTGACGTCAGGCTGCCCACTGACTGTCCTGTCCCTGCTGGGCCGTGTTTGGACTCCTGCCTCGGT</t>
  </si>
  <si>
    <t>AGGCCATCGTGCAGGGGCAGGTAAGGCCCGGGGCGACGCTGGGATGGGTGACGTCAGGCTGCCCACTGACTGTCCTGTCCCTGCTGGGCCGTGTTTGGACTCCTGCCTCGGT</t>
  </si>
  <si>
    <t>AGGCCATCGTGCAGGGGCAGGTAAGGCCCAGGGTGACGCTGGGATGGGTGACGTCAGGCTGCCCACTGACTGTCCTGTCCCTGCTGGGCCGTGTTTGGACTCCTGCCTCGGT</t>
  </si>
  <si>
    <t>AGGCCATCGTGCAGGGGCAGGTAAGGCCCAGGGCGACGCTGGGATGGGTAACGTCAGGCTGCCCACTGACTGTCCTGTCCCTGCTGGGCCGTGTTTGGACTCCTGCCTCGGT</t>
  </si>
  <si>
    <t>AGGCCATCGTGCAGGGGCAGGTAAGGCCCAGGGCGACGCTGGGATGGGTGATGTCAGGCTGCCCACTGACTGTCCTGTCCCTGCTGGGCCGTGTTTGGACTCCTGCCTCGGT</t>
  </si>
  <si>
    <t>AGGCCATCGTGCAGGGGCAGGTAAGGCCCAGGGCGACGCTGGGATGGGTGACTTCAGGCTGCCCACTGACTGTCCTGTCCCTGCTGGGCCGTGTTTGGACTCCTGCCTCGGT</t>
  </si>
  <si>
    <t>AGGCCATCGTGCAGGGGCAGGTAAGGCCCAGGGCGACGCTGGGATGGGTGACGTCAGGCTGCCCACTGACTGTCCTGTCCTTGCTGGGCCGTGTTTGGACTCCTGCCTCGGT</t>
  </si>
  <si>
    <t>CTACTTGGAGGAAGAGCTGGTTGGGTGCCACCTTGGGTTGGAGGTTTCTCTGGCCTTGACGATCAAGTGTAACCTGGATGGGAAGGACCTGGGGCTGGGGAGGGGCTGCCGT</t>
  </si>
  <si>
    <t>CTACTTGGAGGAAGAGCTGGGGGGTGCCACCTTGGGTTGGAGGTTTCTCTGGCCTTGACGATCAAGTGTAACCTGGATGGGAAGGACCTGGGGCTGGGGAGGGGCTGCCGT</t>
  </si>
  <si>
    <t>CTACTTGGAGGAAGAGCTGGGTGGATGCCACCTTGGGTTGGAGGTTTCTCTGGCCTTGACGATCAAGTGTAACCTGGATGGGAAGGACCTGGGGCTGGGGAGGGGCTGCCGT</t>
  </si>
  <si>
    <t>CTACTTGGAGGAAGAGCTGGGTGGTTGCCACCTTGGGTTGGAGGTTTCTCTGGCCTTGACGATCAAGTGTAACCTGGATGGGAAGGACCTGGGGCTGGGGAGGGGCTGCCGT</t>
  </si>
  <si>
    <t>CTACTTGGAGGAAGAGCTGGGTGGGGGCCACCTTGGGTTGGAGGTTTCTCTGGCCTTGACGATCAAGTGTAACCTGGATGGGAAGGACCTGGGGCTGGGGAGGGGCTGCCGT</t>
  </si>
  <si>
    <t>CTACTTGGAGGAAGAGCTGGGTGGGTGTCACCTTGGGTTGGAGGTTTCTCTGGCCTTGACGATCAAGTGTAACCTGGATGGGAAGGACCTGGGGCTGGGGAGGGGCTGCCGT</t>
  </si>
  <si>
    <t>CTACTTGGAGGAAGAGCTGGGTGGGTGCTACCTTGGGTTGGAGGTTTCTCTGGCCTTGACGATCAAGTGTAACCTGGATGGGAAGGACCTGGGGCTGGGGAGGGGCTGCCGT</t>
  </si>
  <si>
    <t>CTACTTGGAGGAAGAGCTGGGTGGGTGCCCCCTTGGGTTGGAGGTTTCTCTGGCCTTGACGATCAAGTGTAACCTGGATGGGAAGGACCTGGGGCTGGGGAGGGGCTGCCGT</t>
  </si>
  <si>
    <t>CTACTTGGAGGAAGAGCTGGGTGGGTGCCACTTTGGGTTGGAGGTTTCTCTGGCCTTGACGATCAAGTGTAACCTGGATGGGAAGGACCTGGGGCTGGGGAGGGGCTGCCGT</t>
  </si>
  <si>
    <t>CTACTTGGAGGAAGAGCTGGGTGGGTGCCACCTTGGGTTGCAGGTTTCTCTGGCCTTGACGATCAAGTGTAACCTGGATGGGAAGGACCTGGGGCTGGGGAGGGGCTGCCGT</t>
  </si>
  <si>
    <t>TACATCGCAAGGATGGTTCAATAAGAAAAGAATTGAGATCCTGTTCTGATAATGGTCCTAAGTTCAGCTCCGCAGTGAATAAAGTTGAAACCACCAAAAAAATAGAGGTTGG</t>
  </si>
  <si>
    <t>TACATCGCAAGGATGGTTCAGGAAGAAAAGAATTGAGATCCTGTTCTGATAATGGTCCTAAGTTCAGCTCCGCAGTGAATAAAGTTGAAACCACCAAAAAAATAGAGGTTGG</t>
  </si>
  <si>
    <t>TACATCGCAAGGATGGTTCAGTGAGAAAAGAATTGAGATCCTGTTCTGATAATGGTCCTAAGTTCAGCTCCGCAGTGAATAAAGTTGAAACCACCAAAAAAATAGAGGTTGG</t>
  </si>
  <si>
    <t>TACATCGCAAGGATGGTTCAGTTAGAAAAGAATTGAGATCCTGTTCTGATAATGGTCCTAAGTTCAGCTCCGCAGTGAATAAAGTTGAAACCACCAAAAAAATAGAGGTTGG</t>
  </si>
  <si>
    <t>TACATCGCAAGGATGGTTCAGTAGGAAAAGAATTGAGATCCTGTTCTGATAATGGTCCTAAGTTCAGCTCCGCAGTGAATAAAGTTGAAACCACCAAAAAAATAGAGGTTGG</t>
  </si>
  <si>
    <t>TACATCGCAAGGATGGTTCAGTAAAAAAGAATTGAGATCCTGTTCTGATAATGGTCCTAAGTTCAGCTCCGCAGTGAATAAAGTTGAAACCACCAAAAAAATAGAGGTTGG</t>
  </si>
  <si>
    <t>TACATCGCAAGGATGGTTCAGTAAAAAAAGAATTGAGATCCTGTTCTGATAATGGTCCTAAGTTCAGCTCCGCAGTGAATAAAGTTGAAACCACCAAAAAAATAGAGGTTGG</t>
  </si>
  <si>
    <t>TACATCGCAAGGATGGTTCAGTAACAAAAGAATTGAGATCCTGTTCTGATAATGGTCCTAAGTTCAGCTCCGCAGTGAATAAAGTTGAAACCACCAAAAAAATAGAGGTTGG</t>
  </si>
  <si>
    <t>TACATCGCAAGGATGGTTCAGTAAGAAAACAATTGAGATCCTGTTCTGATAATGGTCCTAAGTTCAGCTCCGCAGTGAATAAAGTTGAAACCACCAAAAAAATAGAGGTTGG</t>
  </si>
  <si>
    <t>TACATCGCAAGGATGGTTCAGTAAGAAAAGAATTGACATCCTGTTCTGATAATGGTCCTAAGTTCAGCTCCGCAGTGAATAAAGTTGAAACCACCAAAAAAATAGAGGTTGG</t>
  </si>
  <si>
    <t>CGTCCTCTGTGGACATAGAGATCAGTGCCTCCCCTCCCCAGGGCCGGCCCATTTCACCCTGGTTTCTGGGAGGCTGGGGCTTGGGGGTTGAGCCCTGTGTGCCACCTGCTGG</t>
  </si>
  <si>
    <t>CGTCCTCTGTGGACATAGAGCTCAGTGCCTCCCCTCCCCAGGGCCGGCCCATTTCACCCTGGTTTCTGGGAGGCTGGGGCTTGGGGGTTGAGCCCTGTGTGCCACCTGCTGG</t>
  </si>
  <si>
    <t>CGTCCTCTGTGGACATAGAGTTCAGTGCCTCCCCTCCCCAGGGCCGGCCCATTTCACCCTGGTTTCTGGGAGGCTGGGGCTTGGGGGTTGAGCCCTGTGTGCCACCTGCTGG</t>
  </si>
  <si>
    <t>CGTCCTCTGTGGACATAGAGGTCAGCGCCTCCCCTCCCCAGGGCCGGCCCATTTCACCCTGGTTTCTGGGAGGCTGGGGCTTGGGGGTTGAGCCCTGTGTGCCACCTGCTGG</t>
  </si>
  <si>
    <t>CGTCCTCTGTGGACATAGAGGTCAGTGCTTCCCCTCCCCAGGGCCGGCCCATTTCACCCTGGTTTCTGGGAGGCTGGGGCTTGGGGGTTGAGCCCTGTGTGCCACCTGCTGG</t>
  </si>
  <si>
    <t>CGTCCTCTGTGGACATAGAGGTCAGTGCCTCCCTTCCCCAGGGCCGGCCCATTTCACCCTGGTTTCTGGGAGGCTGGGGCTTGGGGGTTGAGCCCTGTGTGCCACCTGCTGG</t>
  </si>
  <si>
    <t>CGTCCTCTGTGGACATAGAGGTCAGTGCCTCCCCTCACCAGGGCCGGCCCATTTCACCCTGGTTTCTGGGAGGCTGGGGCTTGGGGGTTGAGCCCTGTGTGCCACCTGCTGG</t>
  </si>
  <si>
    <t>CGTCCTCTGTGGACATAGAGGTCAGTGCCTCCCCTCCCTAGGGCCGGCCCATTTCACCCTGGTTTCTGGGAGGCTGGGGCTTGGGGGTTGAGCCCTGTGTGCCACCTGCTGG</t>
  </si>
  <si>
    <t>TCTGCGAGCCTTGCTGGAAGATGGGGTTTCTGAAACTGCTCTGGAAGGTTCCTGAGAGCACATGGATGGGACAAGGGCCATCCTGTCTCCCATGAATGGTTGTCTGATTCTT</t>
  </si>
  <si>
    <t>TCTGCGAGCCTTGCTGGAAGCTGGGGTTTCTGAAACTGCTCTGGAAGGTTCCTGAGAGCACATGGATGGGACAAGGGCCATCCTGTCTCCCATGAATGGTTGTCTGATTCTT</t>
  </si>
  <si>
    <t>TCTGCGAGCCTTGCTGGAAGTTGGGGTTTCTGAAACTGCTCTGGAAGGTTCCTGAGAGCACATGGATGGGACAAGGGCCATCCTGTCTCCCATGAATGGTTGTCTGATTCTT</t>
  </si>
  <si>
    <t>TCTGCGAGCCTTGCTGGAAGGAGGGGTTTCTGAAACTGCTCTGGAAGGTTCCTGAGAGCACATGGATGGGACAAGGGCCATCCTGTCTCCCATGAATGGTTGTCTGATTCTT</t>
  </si>
  <si>
    <t>TCTGCGAGCCTTGCTGGAAGGGGGGGTTTCTGAAACTGCTCTGGAAGGTTCCTGAGAGCACATGGATGGGACAAGGGCCATCCTGTCTCCCATGAATGGTTGTCTGATTCTT</t>
  </si>
  <si>
    <t>TCTGCGAGCCTTGCTGGAAGGTGAGGTTTCTGAAACTGCTCTGGAAGGTTCCTGAGAGCACATGGATGGGACAAGGGCCATCCTGTCTCCCATGAATGGTTGTCTGATTCTT</t>
  </si>
  <si>
    <t>TCTGCGAGCCTTGCTGGAAGGTGGGGTTTCTGAAACTGCTCTGTAAGGTTCCTGAGAGCACATGGATGGGACAAGGGCCATCCTGTCTCCCATGAATGGTTGTCTGATTCTT</t>
  </si>
  <si>
    <t>TCTGCGAGCCTTGCTGGAAGGTGGGGTTTCTGAAACTGCTCTGGAAGCTTCCTGAGAGCACATGGATGGGACAAGGGCCATCCTGTCTCCCATGAATGGTTGTCTGATTCTT</t>
  </si>
  <si>
    <t>TCTGCGAGCCTTGCTGGAAGGTGGGGTTTCTGAAACTGCTCTGGAAGGTTCCTGAGAGCACATGGATGGGACAAAGGCCATCCTGTCTCCCATGAATGGTTGTCTGATTCTT</t>
  </si>
  <si>
    <t>TGCCACCTCATGGAGGACAGATGAGTGTGGTGGGTGGGGCGCAGGGCAGTGGAGGCCAGCACAGCCCTCGGGGCAGCTCCAGTGTCCCTTGCCAAGCACACACTGGCTTAGA</t>
  </si>
  <si>
    <t>TGCCACCTCATGGAGGACAGCTGAGTGTGGTGGGTGGGGCGCAGGGCAGTGGAGGCCAGCACAGCCCTCGGGGCAGCTCCAGTGTCCCTTGCCAAGCACACACTGGCTTAGA</t>
  </si>
  <si>
    <t>TGCCACCTCATGGAGGACAGTTGAGTGTGGTGGGTGGGGCGCAGGGCAGTGGAGGCCAGCACAGCCCTCGGGGCAGCTCCAGTGTCCCTTGCCAAGCACACACTGGCTTAGA</t>
  </si>
  <si>
    <t>TGCCACCTCATGGAGGACAGGGGAGTGTGGTGGGTGGGGCGCAGGGCAGTGGAGGCCAGCACAGCCCTCGGGGCAGCTCCAGTGTCCCTTGCCAAGCACACACTGGCTTAGA</t>
  </si>
  <si>
    <t>TGCCACCTCATGGAGGACAGGTAGTGTGGTGGGTGGGGCGCAGGGCAGTGGAGGCCAGCACAGCCCTCGGGGCAGCTCCAGTGTCCCTTGCCAAGCACACACTGGCTTAGA</t>
  </si>
  <si>
    <t>TGCCACCTCATGGAGGACAGGTGAATGTGGTGGGTGGGGCGCAGGGCAGTGGAGGCCAGCACAGCCCTCGGGGCAGCTCCAGTGTCCCTTGCCAAGCACACACTGGCTTAGA</t>
  </si>
  <si>
    <t>TGCCACCTCATGGAGGACAGGTGAGTATGGTGGGTGGGGCGCAGGGCAGTGGAGGCCAGCACAGCCCTCGGGGCAGCTCCAGTGTCCCTTGCCAAGCACACACTGGCTTAGA</t>
  </si>
  <si>
    <t>TGCCACCTCATGGAGGACAGGTGAGTGTGGTGTGTGGGGCGCAGGGCAGTGGAGGCCAGCACAGCCCTCGGGGCAGCTCCAGTGTCCCTTGCCAAGCACACACTGGCTTAGA</t>
  </si>
  <si>
    <t>TGCCACCTCATGGAGGACAGGTGAGTGTGGTGGGTGGGACGCAGGGCAGTGGAGGCCAGCACAGCCCTCGGGGCAGCTCCAGTGTCCCTTGCCAAGCACACACTGGCTTAGA</t>
  </si>
  <si>
    <t>TGCCACCTCATGGAGGACAGGTGAGTGTGGTGGGTGGGGTGCAGGGCAGTGGAGGCCAGCACAGCCCTCGGGGCAGCTCCAGTGTCCCTTGCCAAGCACACACTGGCTTAGA</t>
  </si>
  <si>
    <t>TGCCACCTCATGGAGGACAGGTGAGTGTGGTGGGTGGGGCGCAGGGCAGTGGAGGCCATCACAGCCCTCGGGGCAGCTCCAGTGTCCCTTGCCAAGCACACACTGGCTTAGA</t>
  </si>
  <si>
    <t>TGCCACCTCATGGAGGACAGGTGAGTGTGGTGGGTGGGGCGCAGGGCAGTGGAGGCCAGCACATCCCTCGGGGCAGCTCCAGTGTCCCTTGCCAAGCACACACTGGCTTAGA</t>
  </si>
  <si>
    <t>TGTTGCCATCATTTTACCAGTAAGGCGGTTTCTGTGTGCAGTGAGCTGGCAGGAACGGGAGAGCTCCCCTCACGCCTGCCCACCCATCCCACTGGGGGTCCTGCTGCGGGG</t>
  </si>
  <si>
    <t>TGTTGCCATCATTTTACCAGATAAGGCGGTTTCTGTGTGCAGTGAGCTGGCAGGAACGGGAGAGCTCCCCTCACGCCTGCCCACCCATCCCACTGGGGGTCCTGCTGCGGGG</t>
  </si>
  <si>
    <t>TGTTGCCATCATTTTACCAGCTAAGGCGGTTTCTGTGTGCAGTGAGCTGGCAGGAACGGGAGAGCTCCCCTCACGCCTGCCCACCCATCCCACTGGGGGTCCTGCTGCGGGG</t>
  </si>
  <si>
    <t>TGTTGCCATCATTTTACCAGTTAAGGCGGTTTCTGTGTGCAGTGAGCTGGCAGGAACGGGAGAGCTCCCCTCACGCCTGCCCACCCATCCCACTGGGGGTCCTGCTGCGGGG</t>
  </si>
  <si>
    <t>TGTTGCCATCATTTTACCAGGTCAGGCGGTTTCTGTGTGCAGTGAGCTGGCAGGAACGGGAGAGCTCCCCTCACGCCTGCCCACCCATCCCACTGGGGGTCCTGCTGCGGGG</t>
  </si>
  <si>
    <t>TGTTGCCATCATTTTACCAGGTAACGCGGTTTCTGTGTGCAGTGAGCTGGCAGGAACGGGAGAGCTCCCCTCACGCCTGCCCACCCATCCCACTGGGGGTCCTGCTGCGGGG</t>
  </si>
  <si>
    <t>TGTTGCCATCATTTTACCAGGTAATGCGGTTTCTGTGTGCAGTGAGCTGGCAGGAACGGGAGAGCTCCCCTCACGCCTGCCCACCCATCCCACTGGGGGTCCTGCTGCGGGG</t>
  </si>
  <si>
    <t>TGTTGCCATCATTTTACCAGGTAAGGTGGTTTCTGTGTGCAGTGAGCTGGCAGGAACGGGAGAGCTCCCCTCACGCCTGCCCACCCATCCCACTGGGGGTCCTGCTGCGGGG</t>
  </si>
  <si>
    <t>TGTTGCCATCATTTTACCAGGTAAGGCAGTTTCTGTGTGCAGTGAGCTGGCAGGAACGGGAGAGCTCCCCTCACGCCTGCCCACCCATCCCACTGGGGGTCCTGCTGCGGGG</t>
  </si>
  <si>
    <t>TGTTGCCATCATTTTACCAGGTAAGGCGGTTTTTGTGTGCAGTGAGCTGGCAGGAACGGGAGAGCTCCCCTCACGCCTGCCCACCCATCCCACTGGGGGTCCTGCTGCGGGG</t>
  </si>
  <si>
    <t>TGTTGCCATCATTTTACCAGGTAAGGCGGTTTCTGCGTGCAGTGAGCTGGCAGGAACGGGAGAGCTCCCCTCACGCCTGCCCACCCATCCCACTGGGGGTCCTGCTGCGGGG</t>
  </si>
  <si>
    <t>GGCTCCTTCAGCAGCTCCAGATGGGGTGGGGGCAGGAGCTCCGGGGAGCACCGGGAACCCAGACAGGCAGGCTCGGCCCACTCAGAAGATGGTACCTTGGGCCCCATCTCTG</t>
  </si>
  <si>
    <t>GGCTCCTTCAGCAGCTCCAGCTGGGGTGGGGGCAGGAGCTCCGGGGAGCACCGGGAACCCAGACAGGCAGGCTCGGCCCACTCAGAAGATGGTACCTTGGGCCCCATCTCTG</t>
  </si>
  <si>
    <t>GGCTCCTTCAGCAGCTCCAGGGGGGGTGGGGGCAGGAGCTCCGGGGAGCACCGGGAACCCAGACAGGCAGGCTCGGCCCACTCAGAAGATGGTACCTTGGGCCCCATCTCTG</t>
  </si>
  <si>
    <t>GGCTCCTTCAGCAGCTCCAGGTGGGCTGGGGGCAGGAGCTCCGGGGAGCACCGGGAACCCAGACAGGCAGGCTCGGCCCACTCAGAAGATGGTACCTTGGGCCCCATCTCTG</t>
  </si>
  <si>
    <t>GGCTCCTTCAGCAGCTCCAGGTGGGGTGGGGGGCAGGAGCTCCGGGGAGCACCGGGAACCCAGACAGGCAGGCTCGGCCCACTCAGAAGATGGTACCTTGGGCCCCATCTCTG</t>
  </si>
  <si>
    <t>GGCTCCTTCAGCAGCTCCAGGTGGGGTGGGGGCAGGAGCTCTGGGGAGCACCGGGAACCCAGACAGGCAGGCTCGGCCCACTCAGAAGATGGTACCTTGGGCCCCATCTCTG</t>
  </si>
  <si>
    <t>GGCTCCTTCAGCAGCTCCAGGTGGGGTGGGGGCAGGAGCTCCAGGGAGCACCGGGAACCCAGACAGGCAGGCTCGGCCCACTCAGAAGATGGTACCTTGGGCCCCATCTCTG</t>
  </si>
  <si>
    <t>GATGTGCGGACCAGAGGCCTATGAGACCCCCTCCTGGGTGGGGCCTTTGGGCTTTGGCTGGTGGGGAGGGGCCGGGTGCTGGGTGAAGTGCAGCTTTCTGAGCCTCAGAAGC</t>
  </si>
  <si>
    <t>GATGTGCGGACCAGAGGCCTCTGAGACCCCCTCCTGGGTGGGGCCTTTGGGCTTTGGCTGGTGGGGAGGGGCCGGGTGCTGGGTGAAGTGCAGCTTTCTGAGCCTCAGAAGC</t>
  </si>
  <si>
    <t>GATGTGCGGACCAGAGGCCTTTGAGACCCCCTCCTGGGTGGGGCCTTTGGGCTTTGGCTGGTGGGGAGGGGCCGGGTGCTGGGTGAAGTGCAGCTTTCTGAGCCTCAGAAGC</t>
  </si>
  <si>
    <t>GATGTGCGGACCAGAGGCCTGCGAGACCCCCTCCTGGGTGGGGCCTTTGGGCTTTGGCTGGTGGGGAGGGGCCGGGTGCTGGGTGAAGTGCAGCTTTCTGAGCCTCAGAAGC</t>
  </si>
  <si>
    <t>GATGTGCGGACCAGAGGCCTGGGAGACCCCCTCCTGGGTGGGGCCTTTGGGCTTTGGCTGGTGGGGAGGGGCCGGGTGCTGGGTGAAGTGCAGCTTTCTGAGCCTCAGAAGC</t>
  </si>
  <si>
    <t>GATGTGCGGACCAGAGGCCTGTCAGACCCCCTCCTGGGTGGGGCCTTTGGGCTTTGGCTGGTGGGGAGGGGCCGGGTGCTGGGTGAAGTGCAGCTTTCTGAGCCTCAGAAGC</t>
  </si>
  <si>
    <t>GATGTGCGGACCAGAGGCCTGTGAGACACCCTCCTGGGTGGGGCCTTTGGGCTTTGGCTGGTGGGGAGGGGCCGGGTGCTGGGTGAAGTGCAGCTTTCTGAGCCTCAGAAGC</t>
  </si>
  <si>
    <t>GATGTGCGGACCAGAGGCCTGTGAGACGCCCTCCTGGGTGGGGCCTTTGGGCTTTGGCTGGTGGGGAGGGGCCGGGTGCTGGGTGAAGTGCAGCTTTCTGAGCCTCAGAAGC</t>
  </si>
  <si>
    <t>GATGTGCGGACCAGAGGCCTGTGAGACCCGCTCCTGGGTGGGGCCTTTGGGCTTTGGCTGGTGGGGAGGGGCCGGGTGCTGGGTGAAGTGCAGCTTTCTGAGCCTCAGAAGC</t>
  </si>
  <si>
    <t>GATGTGCGGACCAGAGGCCTGTGAGACCCTCTCCTGGGTGGGGCCTTTGGGCTTTGGCTGGTGGGGAGGGGCCGGGTGCTGGGTGAAGTGCAGCTTTCTGAGCCTCAGAAGC</t>
  </si>
  <si>
    <t>GATGTGCGGACCAGAGGCCTGTGAGACCCCCTCTTGGGTGGGGCCTTTGGGCTTTGGCTGGTGGGGAGGGGCCGGGTGCTGGGTGAAGTGCAGCTTTCTGAGCCTCAGAAGC</t>
  </si>
  <si>
    <t>GATGTGCGGACCAGAGGCCTGTGAGACCCCCTCCTGTGTGGGGCCTTTGGGCTTTGGCTGGTGGGGAGGGGCCGGGTGCTGGGTGAAGTGCAGCTTTCTGAGCCTCAGAAGC</t>
  </si>
  <si>
    <t>GATGTGCGGACCAGAGGCCTGTGAGACCCCCTCCTGGGTAGGGCCTTTGGGCTTTGGCTGGTGGGGAGGGGCCGGGTGCTGGGTGAAGTGCAGCTTTCTGAGCCTCAGAAGC</t>
  </si>
  <si>
    <t>GATGTGCGGACCAGAGGCCTGTGAGACCCCCTCCTGGGTGAGGCCTTTGGGCTTTGGCTGGTGGGGAGGGGCCGGGTGCTGGGTGAAGTGCAGCTTTCTGAGCCTCAGAAGC</t>
  </si>
  <si>
    <t>CTGATGGAGAGATTCTTCAGTAGGGGGTCCTCTGTAGCCTTGCCTGGCACCTGGAGCCTGGCCCTGTCTCTGTCTGGGGCCCACCCGGGCTGGGTCTCAGGATGCCCGATG</t>
  </si>
  <si>
    <t>CTGATGGAGAGATTCTTCAGATAGGGGGTCCTCTGTAGCCTTGCCTGGCACCTGGAGCCTGGCCCTGTCTCTGTCTGGGGCCCACCCGGGCTGGGTCTCAGGATGCCCGATG</t>
  </si>
  <si>
    <t>CTGATGGAGAGATTCTTCAGTTAGGGGGTCCTCTGTAGCCTTGCCTGGCACCTGGAGCCTGGCCCTGTCTCTGTCTGGGGCCCACCCGGGCTGGGTCTCAGGATGCCCGATG</t>
  </si>
  <si>
    <t>CTGATGGAGAGATTCTTCAGGCAGGGGGTCCTCTGTAGCCTTGCCTGGCACCTGGAGCCTGGCCCTGTCTCTGTCTGGGGCCCACCCGGGCTGGGTCTCAGGATGCCCGATG</t>
  </si>
  <si>
    <t>CTGATGGAGAGATTCTTCAGGGAGGGGGTCCTCTGTAGCCTTGCCTGGCACCTGGAGCCTGGCCCTGTCTCTGTCTGGGGCCCACCCGGGCTGGGTCTCAGGATGCCCGATG</t>
  </si>
  <si>
    <t>CTGATGGAGAGATTCTTCAGGTAGGGGGCCCTCTGTAGCCTTGCCTGGCACCTGGAGCCTGGCCCTGTCTCTGTCTGGGGCCCACCCGGGCTGGGTCTCAGGATGCCCGATG</t>
  </si>
  <si>
    <t>CTGATGGAGAGATTCTTCAGGTAGGGGGTCCTTTGTAGCCTTGCCTGGCACCTGGAGCCTGGCCCTGTCTCTGTCTGGGGCCCACCCGGGCTGGGTCTCAGGATGCCCGATG</t>
  </si>
  <si>
    <t>CTGATGGAGAGATTCTTCAGGTAGGGGGTCCTCTGGAGCCTTGCCTGGCACCTGGAGCCTGGCCCTGTCTCTGTCTGGGGCCCACCCGGGCTGGGTCTCAGGATGCCCGATG</t>
  </si>
  <si>
    <t>CTGATGGAGAGATTCTTCAGGTAGGGGGTCCTCTGTACCCTTGCCTGGCACCTGGAGCCTGGCCCTGTCTCTGTCTGGGGCCCACCCGGGCTGGGTCTCAGGATGCCCGATG</t>
  </si>
  <si>
    <t>CTGATGGAGAGATTCTTCAGGTAGGGGGTCCTCTGTAGCGTTGCCTGGCACCTGGAGCCTGGCCCTGTCTCTGTCTGGGGCCCACCCGGGCTGGGTCTCAGGATGCCCGATG</t>
  </si>
  <si>
    <t>CTGATGGAGAGATTCTTCAGGTAGGGGGTCCTCTGTAGCCTTGCCTGGCACCTGGAGCCTGGCCCTGTCTCTGGGGCCCACCCGGGCTGGGTCTCAGGATGCCCGATG</t>
  </si>
  <si>
    <t>TCAACAGGCAGTTCTATGAGATGCGTGTCCAGGCGGCCGCAGCTGGGGGCTCAGGGCTATTTCTCCGTGGGCGGGCTGTCTCTGTTGTGCACGTGCTCCCGCAGAGCCGGGC</t>
  </si>
  <si>
    <t>TCAACAGGCAGTTCTATGAGTTGCGTGTCCAGGCGGCCGCAGCTGGGGGCTCAGGGCTATTTCTCCGTGGGCGGGCTGTCTCTGTTGTGCACGTGCTCCCGCAGAGCCGGGC</t>
  </si>
  <si>
    <t>TCAACAGGCAGTTCTATGAGGGGCGTGTCCAGGCGGCCGCAGCTGGGGGCTCAGGGCTATTTCTCCGTGGGCGGGCTGTCTCTGTTGTGCACGTGCTCCCGCAGAGCCGGGC</t>
  </si>
  <si>
    <t>TCAACAGGCAGTTCTATGAGGTGTGTGTCCAGGCGGCCGCAGCTGGGGGCTCAGGGCTATTTCTCCGTGGGCGGGCTGTCTCTGTTGTGCACGTGCTCCCGCAGAGCCGGGC</t>
  </si>
  <si>
    <t>TCAACAGGCAGTTCTATGAGGTGCATGTCCAGGCGGCCGCAGCTGGGGGCTCAGGGCTATTTCTCCGTGGGCGGGCTGTCTCTGTTGTGCACGTGCTCCCGCAGAGCCGGGC</t>
  </si>
  <si>
    <t>TCAACAGGCAGTTCTATGAGGTGCCTGTCCAGGCGGCCGCAGCTGGGGGCTCAGGGCTATTTCTCCGTGGGCGGGCTGTCTCTGTTGTGCACGTGCTCCCGCAGAGCCGGGC</t>
  </si>
  <si>
    <t>TCAACAGGCAGTTCTATGAGGTGCGTATCCAGGCGGCCGCAGCTGGGGGCTCAGGGCTATTTCTCCGTGGGCGGGCTGTCTCTGTTGTGCACGTGCTCCCGCAGAGCCGGGC</t>
  </si>
  <si>
    <t>TCAACAGGCAGTTCTATGAGGTGCGTGTCCAGGAGGCCGCAGCTGGGGGCTCAGGGCTATTTCTCCGTGGGCGGGCTGTCTCTGTTGTGCACGTGCTCCCGCAGAGCCGGGC</t>
  </si>
  <si>
    <t>TCAACAGGCAGTTCTATGAGGTGCGTGTCCAGGTGGCCGCAGCTGGGGGCTCAGGGCTATTTCTCCGTGGGCGGGCTGTCTCTGTTGTGCACGTGCTCCCGCAGAGCCGGGC</t>
  </si>
  <si>
    <t>TCAACAGGCAGTTCTATGAGGTGCGTGTCCAGGCAGCCGCAGCTGGGGGCTCAGGGCTATTTCTCCGTGGGCGGGCTGTCTCTGTTGTGCACGTGCTCCCGCAGAGCCGGGC</t>
  </si>
  <si>
    <t>TCAACAGGCAGTTCTATGAGGTGCGTGTCCAGGCGGCTGCAGCTGGGGGCTCAGGGCTATTTCTCCGTGGGCGGGCTGTCTCTGTTGTGCACGTGCTCCCGCAGAGCCGGGC</t>
  </si>
  <si>
    <t>TCAACAGGCAGTTCTATGAGGTGCGTGTCCAGGCGGCCGCAGCTGGGGGCTCAGGGCTATTTCTCCGTGGGCGGGCTGTCTCTGTTGTGCGCGTGCTCCCGCAGAGCCGGGC</t>
  </si>
  <si>
    <t>TGCTGGACATCATCGAGAAGATGAGAGCCGTTGTACCCGGGGCCGGGTGCTAGCGTGCCAGAGCTCCGTGGGCAGCAATGGCCTCTGGGCCCTCTGTCCTCCTCTTCGAGTG</t>
  </si>
  <si>
    <t>TGCTGGACATCATCGAGAAGTTGAGAGCCGTTGTACCCGGGGCCGGGTGCTAGCGTGCCAGAGCTCCGTGGGCAGCAATGGCCTCTGGGCCCTCTGTCCTCCTCTTCGAGTG</t>
  </si>
  <si>
    <t>TGCTGGACATCATCGAGAAGGAGAGAGCCGTTGTACCCGGGGCCGGGTGCTAGCGTGCCAGAGCTCCGTGGGCAGCAATGGCCTCTGGGCCCTCTGTCCTCCTCTTCGAGTG</t>
  </si>
  <si>
    <t>TGCTGGACATCATCGAGAAGGCGAGAGCCGTTGTACCCGGGGCCGGGTGCTAGCGTGCCAGAGCTCCGTGGGCAGCAATGGCCTCTGGGCCCTCTGTCCTCCTCTTCGAGTG</t>
  </si>
  <si>
    <t>TGCTGGACATCATCGAGAAGGTGAAAGCCGTTGTACCCGGGGCCGGGTGCTAGCGTGCCAGAGCTCCGTGGGCAGCAATGGCCTCTGGGCCCTCTGTCCTCCTCTTCGAGTG</t>
  </si>
  <si>
    <t>TGCTGGACATCATCGAGAAGGTGATAGCCGTTGTACCCGGGGCCGGGTGCTAGCGTGCCAGAGCTCCGTGGGCAGCAATGGCCTCTGGGCCCTCTGTCCTCCTCTTCGAGTG</t>
  </si>
  <si>
    <t>TGCTGGACATCATCGAGAAGGTGAGAGACGTTGTACCCGGGGCCGGGTGCTAGCGTGCCAGAGCTCCGTGGGCAGCAATGGCCTCTGGGCCCTCTGTCCTCCTCTTCGAGTG</t>
  </si>
  <si>
    <t>TGCTGGACATCATCGAGAAGGTGAGAGTCGTTGTACCCGGGGCCGGGTGCTAGCGTGCCAGAGCTCCGTGGGCAGCAATGGCCTCTGGGCCCTCTGTCCTCCTCTTCGAGTG</t>
  </si>
  <si>
    <t>TGCTGGACATCATCGAGAAGGTGAGAGCTGTTGTACCCGGGGCCGGGTGCTAGCGTGCCAGAGCTCCGTGGGCAGCAATGGCCTCTGGGCCCTCTGTCCTCCTCTTCGAGTG</t>
  </si>
  <si>
    <t>TGCTGGACATCATCGAGAAGGTGAGAGCCATTGTACCCGGGGCCGGGTGCTAGCGTGCCAGAGCTCCGTGGGCAGCAATGGCCTCTGGGCCCTCTGTCCTCCTCTTCGAGTG</t>
  </si>
  <si>
    <t>TGCTGGACATCATCGAGAAGGTGAGAGCCGTTGTATCCGGGGCCGGGTGCTAGCGTGCCAGAGCTCCGTGGGCAGCAATGGCCTCTGGGCCCTCTGTCCTCCTCTTCGAGTG</t>
  </si>
  <si>
    <t>TGCTGGACATCATCGAGAAGGTGAGAGCCGTTGTACCCAGGGCCGGGTGCTAGCGTGCCAGAGCTCCGTGGGCAGCAATGGCCTCTGGGCCCTCTGTCCTCCTCTTCGAGTG</t>
  </si>
  <si>
    <t>TGCTGGACATCATCGAGAAGGTGAGAGCCGTTGTACCCGGGGCCGGGTGCTAGCGTGCCAGAGCTCCGTGGGCAGCAATGGCCTCTGGGCCCTCTGTCCTCTTCGAGTG</t>
  </si>
  <si>
    <t>GGCTTCTGGTCATCCTTCAGATGGGTGTTCTGCACGAGGCCTCTGCTCCCGGGGCGCGCATGGCTAGCGTCCACCAGCTGCATCTGCGTTGTGTTGGAGTCTGTTCCCCAGC</t>
  </si>
  <si>
    <t>GGCTTCTGGTCATCCTTCAGGCGGGTGTTCTGCACGAGGCCTCTGCTCCCGGGGCGCGCATGGCTAGCGTCCACCAGCTGCATCTGCGTTGTGTTGGAGTCTGTTCCCCAGC</t>
  </si>
  <si>
    <t>GGCTTCTGGTCATCCTTCAGGTGGTGTTCTGCACGAGGCCTCTGCTCCCGGGGCGCGCATGGCTAGCGTCCACCAGCTGCATCTGCGTTGTGTTGGAGTCTGTTCCCCAGC</t>
  </si>
  <si>
    <t>GGCTTCTGGTCATCCTTCAGGTGGGTGTTATGCACGAGGCCTCTGCTCCCGGGGCGCGCATGGCTAGCGTCCACCAGCTGCATCTGCGTTGTGTTGGAGTCTGTTCCCCAGC</t>
  </si>
  <si>
    <t>GGCTTCTGGTCATCCTTCAGGTGGGTGTTCTGCATGAGGCCTCTGCTCCCGGGGCGCGCATGGCTAGCGTCCACCAGCTGCATCTGCGTTGTGTTGGAGTCTGTTCCCCAGC</t>
  </si>
  <si>
    <t>GGCTTCTGGTCATCCTTCAGGTGGGTGTTCTGCACAAGGCCTCTGCTCCCGGGGCGCGCATGGCTAGCGTCCACCAGCTGCATCTGCGTTGTGTTGGAGTCTGTTCCCCAGC</t>
  </si>
  <si>
    <t>GGCTTCTGGTCATCCTTCAGGTGGGTGTTCTGCACGAGGCCTCTGCTACCGGGGCGCGCATGGCTAGCGTCCACCAGCTGCATCTGCGTTGTGTTGGAGTCTGTTCCCCAGC</t>
  </si>
  <si>
    <t>GGCTTCTGGTCATCCTTCAGGTGGGTGTTCTGCACGAGGCCTCTGCTCCTGGGGCGCGCATGGCTAGCGTCCACCAGCTGCATCTGCGTTGTGTTGGAGTCTGTTCCCCAGC</t>
  </si>
  <si>
    <t>GGCTTCTGGTCATCCTTCAGGTGGGTGTTCTGCACGAGGCCTCTGCTCCCGGGGCGCGCATGGCTAGGGTCCACCAGCTGCATCTGCGTTGTGTTGGAGTCTGTTCCCCAGC</t>
  </si>
  <si>
    <t>CGAGCAGCATCCGGCTGCAGATATGGTGGCTGGGGTTGCGCAGCCAGTTCCTGGGGGCCCAGCCAGGTATCCCCGTCTCGGCAGGTGTGGTTCCTGGAAGCTGCAGAGACGG</t>
  </si>
  <si>
    <t>CGAGCAGCATCCGGCTGCAGCTATGGTGGCTGGGGTTGCGCAGCCAGTTCCTGGGGGCCCAGCCAGGTATCCCCGTCTCGGCAGGTGTGGTTCCTGGAAGCTGCAGAGACGG</t>
  </si>
  <si>
    <t>CGAGCAGCATCCGGCTGCAGTTATGGTGGCTGGGGTTGCGCAGCCAGTTCCTGGGGGCCCAGCCAGGTATCCCCGTCTCGGCAGGTGTGGTTCCTGGAAGCTGCAGAGACGG</t>
  </si>
  <si>
    <t>CGAGCAGCATCCGGCTGCAGGCATGGTGGCTGGGGTTGCGCAGCCAGTTCCTGGGGGCCCAGCCAGGTATCCCCGTCTCGGCAGGTGTGGTTCCTGGAAGCTGCAGAGACGG</t>
  </si>
  <si>
    <t>CGAGCAGCATCCGGCTGCAGGTACGGTGGCTGGGGTTGCGCAGCCAGTTCCTGGGGGCCCAGCCAGGTATCCCCGTCTCGGCAGGTGTGGTTCCTGGAAGCTGCAGAGACGG</t>
  </si>
  <si>
    <t>CGAGCAGCATCCGGCTGCAGGTATGATGGCTGGGGTTGCGCAGCCAGTTCCTGGGGGCCCAGCCAGGTATCCCCGTCTCGGCAGGTGTGGTTCCTGGAAGCTGCAGAGACGG</t>
  </si>
  <si>
    <t>CGAGCAGCATCCGGCTGCAGGTATGGTGACTGGGGTTGCGCAGCCAGTTCCTGGGGGCCCAGCCAGGTATCCCCGTCTCGGCAGGTGTGGTTCCTGGAAGCTGCAGAGACGG</t>
  </si>
  <si>
    <t>CGAGCAGCATCCGGCTGCAGGTATGGTGGTTGGGGTTGCGCAGCCAGTTCCTGGGGGCCCAGCCAGGTATCCCCGTCTCGGCAGGTGTGGTTCCTGGAAGCTGCAGAGACGG</t>
  </si>
  <si>
    <t>CGAGCAGCATCCGGCTGCAGGTATGGTGGCTGGGGTTACGCAGCCAGTTCCTGGGGGCCCAGCCAGGTATCCCCGTCTCGGCAGGTGTGGTTCCTGGAAGCTGCAGAGACGG</t>
  </si>
  <si>
    <t>CGAGCAGCATCCGGCTGCAGGTATGGTGGCTGGGGTTGCACAGCCAGTTCCTGGGGGCCCAGCCAGGTATCCCCGTCTCGGCAGGTGTGGTTCCTGGAAGCTGCAGAGACGG</t>
  </si>
  <si>
    <t>CGAGCAGCATCCGGCTGCAGGTATGGTGGCTGGGGTTGCCCAGCCAGTTCCTGGGGGCCCAGCCAGGTATCCCCGTCTCGGCAGGTGTGGTTCCTGGAAGCTGCAGAGACGG</t>
  </si>
  <si>
    <t>CGAGCAGCATCCGGCTGCAGGTATGGTGGCTGGGGTTGCGCAGCCAGTTCCTGGGGGCCCAGCCAAGTATCCCCGTCTCGGCAGGTGTGGTTCCTGGAAGCTGCAGAGACGG</t>
  </si>
  <si>
    <t>TACTGCGTCTGCGACTACATATACGCGGGACCTCGCCCACGGCCCATGAGGCTCAGGGCGTCAGAGGCGCTGGGGCTGTGGTGGCGCTGTTTGCATGTCTGAGGGATGTCCC</t>
  </si>
  <si>
    <t>TACTGCGTCTGCGACTACATCTACGCGGGACCTCGCCCACGGCCCATGAGGCTCAGGGCGTCAGAGGCGCTGGGGCTGTGGTGGCGCTGTTTGCATGTCTGAGGGATGTCCC</t>
  </si>
  <si>
    <t>TACTGCGTCTGCGACTACATTTACGCGGGACCTCGCCCACGGCCCATGAGGCTCAGGGCGTCAGAGGCGCTGGGGCTGTGGTGGCGCTGTTTGCATGTCTGAGGGATGTCCC</t>
  </si>
  <si>
    <t>TACTGCGTCTGCGACTACATGAACGCGGGACCTCGCCCACGGCCCATGAGGCTCAGGGCGTCAGAGGCGCTGGGGCTGTGGTGGCGCTGTTTGCATGTCTGAGGGATGTCCC</t>
  </si>
  <si>
    <t>TACTGCGTCTGCGACTACATGCACGCGGGACCTCGCCCACGGCCCATGAGGCTCAGGGCGTCAGAGGCGCTGGGGCTGTGGTGGCGCTGTTTGCATGTCTGAGGGATGTCCC</t>
  </si>
  <si>
    <t>TACTGCGTCTGCGACTACATGTATGCGGGACCTCGCCCACGGCCCATGAGGCTCAGGGCGTCAGAGGCGCTGGGGCTGTGGTGGCGCTGTTTGCATGTCTGAGGGATGTCCC</t>
  </si>
  <si>
    <t>TACTGCGTCTGCGACTACATGTACACGGGACCTCGCCCACGGCCCATGAGGCTCAGGGCGTCAGAGGCGCTGGGGCTGTGGTGGCGCTGTTTGCATGTCTGAGGGATGTCCC</t>
  </si>
  <si>
    <t>TACTGCGTCTGCGACTACATGTACTCGGGACCTCGCCCACGGCCCATGAGGCTCAGGGCGTCAGAGGCGCTGGGGCTGTGGTGGCGCTGTTTGCATGTCTGAGGGATGTCCC</t>
  </si>
  <si>
    <t>TACTGCGTCTGCGACTACATGTACGAGGGACCTCGCCCACGGCCCATGAGGCTCAGGGCGTCAGAGGCGCTGGGGCTGTGGTGGCGCTGTTTGCATGTCTGAGGGATGTCCC</t>
  </si>
  <si>
    <t>TACTGCGTCTGCGACTACATGTACGTGGGACCTCGCCCACGGCCCATGAGGCTCAGGGCGTCAGAGGCGCTGGGGCTGTGGTGGCGCTGTTTGCATGTCTGAGGGATGTCCC</t>
  </si>
  <si>
    <t>TACTGCGTCTGCGACTACATGTACGCAGGACCTCGCCCACGGCCCATGAGGCTCAGGGCGTCAGAGGCGCTGGGGCTGTGGTGGCGCTGTTTGCATGTCTGAGGGATGTCCC</t>
  </si>
  <si>
    <t>TACTGCGTCTGCGACTACATGTACGCGGTACCTCGCCCACGGCCCATGAGGCTCAGGGCGTCAGAGGCGCTGGGGCTGTGGTGGCGCTGTTTGCATGTCTGAGGGATGTCCC</t>
  </si>
  <si>
    <t>TACTGCGTCTGCGACTACATGTACGCGGGACCTTGCCCACGGCCCATGAGGCTCAGGGCGTCAGAGGCGCTGGGGCTGTGGTGGCGCTGTTTGCATGTCTGAGGGATGTCCC</t>
  </si>
  <si>
    <t>TACTGCGTCTGCGACTACATGTACGCGGGACCTCACCCACGGCCCATGAGGCTCAGGGCGTCAGAGGCGCTGGGGCTGTGGTGGCGCTGTTTGCATGTCTGAGGGATGTCCC</t>
  </si>
  <si>
    <t>TACTGCGTCTGCGACTACATGTACGCGGGACCTCGCCCATGGCCCATGAGGCTCAGGGCGTCAGAGGCGCTGGGGCTGTGGTGGCGCTGTTTGCATGTCTGAGGGATGTCCC</t>
  </si>
  <si>
    <t>TACTGCGTCTGCGACTACATGTACGCGGGACCTCGCCCACGGCTCATGAGGCTCAGGGCGTCAGAGGCGCTGGGGCTGTGGTGGCGCTGTTTGCATGTCTGAGGGATGTCCC</t>
  </si>
  <si>
    <t>TACTGCGTCTGCGACTACATGTACGCGGGACCTCGCCCACGGCCCATGAGGCTCAGGGCGTCAGAGGCGCTGGGGCTGTCGTGGCGCTGTTTGCATGTCTGAGGGATGTCCC</t>
  </si>
  <si>
    <t>TGCTGCAGTGCTTGAAGCAGGTGACTGGGGCCGGGCAGGGACCATCCGTCCCACGTTGGGCCAGGAGGACAGGGAGCTGCCACCTGCCTGCTGGGCCTCCCTCCCTGTCTGG</t>
  </si>
  <si>
    <t>TGCTGCAGTGCTTGAAGCAGGTGAGTGGGGCTGGGCAGGGACCATCCGTCCCACGTTGGGCCAGGAGGACAGGGAGCTGCCACCTGCCTGCTGGGCCTCCCTCCCTGTCTGG</t>
  </si>
  <si>
    <t>TGCTGCAGTGCTTGAAGCAGGTGAGTGGGGCCAGGCAGGGACCATCCGTCCCACGTTGGGCCAGGAGGACAGGGAGCTGCCACCTGCCTGCTGGGCCTCCCTCCCTGTCTGG</t>
  </si>
  <si>
    <t>TGCTGCAGTGCTTGAAGCAGGTGAGTGGGGCCGGGACCATCCGTCCCACGTTGGGCCAGGAGGACAGGGAGCTGCCACCTGCCTGCTGGGCCTCCCTCCCTGTCTGG</t>
  </si>
  <si>
    <t>TGCTGCAGTGCTTGAAGCAGGTGAGTGGGGCCGGGCAGGGACCATCCATCCCACGTTGGGCCAGGAGGACAGGGAGCTGCCACCTGCCTGCTGGGCCTCCCTCCCTGTCTGG</t>
  </si>
  <si>
    <t>TGCTGCAGTGCTTGAAGCAGGTGAGTGGGGCCGGGCAGGGACCATCCGTCCCACATTGGGCCAGGAGGACAGGGAGCTGCCACCTGCCTGCTGGGCCTCCCTCCCTGTCTGG</t>
  </si>
  <si>
    <t>TGCTGCAGTGCTTGAAGCAGGTGAGTGGGGCCGGGCAGGGACCATCCGTCCCACGTTGGGCCGGGAGGACAGGGAGCTGCCACCTGCCTGCTGGGCCTCCCTCCCTGTCTGG</t>
  </si>
  <si>
    <t>GCTCTGCTCTCTGCTCCATGATACCATGGCCGGCCTGGGGTTGGGGTGGGGGACCCAGTAGGGTTTTTCCCCAAAAGACTGCGAGCCTCTGGGCAGAGCGAGTGAGACCCTT</t>
  </si>
  <si>
    <t>GCTCTGCTCTCTGCTCCATGTTACCATGGCCGGCCTGGGGTTGGGGTGGGGGACCCAGTAGGGTTTTTCCCCAAAAGACTGCGAGCCTCTGGGCAGAGCGAGTGAGACCCTT</t>
  </si>
  <si>
    <t>GCTCTGCTCTCTGCTCCATGGGACCATGGCCGGCCTGGGGTTGGGGTGGGGGACCCAGTAGGGTTTTTCCCCAAAAGACTGCGAGCCTCTGGGCAGAGCGAGTGAGACCCTT</t>
  </si>
  <si>
    <t>GCTCTGCTCTCTGCTCCATGGTCCCATGGCCGGCCTGGGGTTGGGGTGGGGGACCCAGTAGGGTTTTTCCCCAAAAGACTGCGAGCCTCTGGGCAGAGCGAGTGAGACCCTT</t>
  </si>
  <si>
    <t>GCTCTGCTCTCTGCTCCATGGTAGCATGGCCGGCCTGGGGTTGGGGTGGGGGACCCAGTAGGGTTTTTCCCCAAAAGACTGCGAGCCTCTGGGCAGAGCGAGTGAGACCCTT</t>
  </si>
  <si>
    <t>GCTCTGCTCTCTGCTCCATGGTACCATGGCTGGCCTGGGGTTGGGGTGGGGGACCCAGTAGGGTTTTTCCCCAAAAGACTGCGAGCCTCTGGGCAGAGCGAGTGAGACCCTT</t>
  </si>
  <si>
    <t>GCTCTGCTCTCTGCTCCATGGTACCATGGCCAGCCTGGGGTTGGGGTGGGGGACCCAGTAGGGTTTTTCCCCAAAAGACTGCGAGCCTCTGGGCAGAGCGAGTGAGACCCTT</t>
  </si>
  <si>
    <t>GCTCTGCTCTCTGCTCCATGGTACCATGGCCGGCCTGGGTTGGGGTGGGGGACCCAGTAGGGTTTTTCCCCAAAAGACTGCGAGCCTCTGGGCAGAGCGAGTGAGACCCTT</t>
  </si>
  <si>
    <t>GCTCTGCTCTCTGCTCCATGGTACCATGGCCGGCCTGGGGTTGGCGTGGGGGACCCAGTAGGGTTTTTCCCCAAAAGACTGCGAGCCTCTGGGCAGAGCGAGTGAGACCCTT</t>
  </si>
  <si>
    <t>GCTCTGCTCTCTGCTCCATGGTACCATGGCCGGCCTGGGGTTGGGGTGGGGACCCAGTAGGGTTTTTCCCCAAAAGACTGCGAGCCTCTGGGCAGAGCGAGTGAGACCCTT</t>
  </si>
  <si>
    <t>ACCTGGACAAAACCAAACAGATAGGAGGTCAGAGCAGGACAGGCGAGCTTGATGGGGCCTGGGATTCGAGGGCCTGGCCCAGGTAGGCCCCACATTTTTCTCATAAACGAGT</t>
  </si>
  <si>
    <t>ACCTGGACAAAACCAAACAGCTAGGAGGTCAGAGCAGGACAGGCGAGCTTGATGGGGCCTGGGATTCGAGGGCCTGGCCCAGGTAGGCCCCACATTTTTCTCATAAACGAGT</t>
  </si>
  <si>
    <t>ACCTGGACAAAACCAAACAGTTAGGAGGTCAGAGCAGGACAGGCGAGCTTGATGGGGCCTGGGATTCGAGGGCCTGGCCCAGGTAGGCCCCACATTTTTCTCATAAACGAGT</t>
  </si>
  <si>
    <t>ACCTGGACAAAACCAAACAGGAAGGAGGTCAGAGCAGGACAGGCGAGCTTGATGGGGCCTGGGATTCGAGGGCCTGGCCCAGGTAGGCCCCACATTTTTCTCATAAACGAGT</t>
  </si>
  <si>
    <t>ACCTGGACAAAACCAAACAGGCAGGAGGTCAGAGCAGGACAGGCGAGCTTGATGGGGCCTGGGATTCGAGGGCCTGGCCCAGGTAGGCCCCACATTTTTCTCATAAACGAGT</t>
  </si>
  <si>
    <t>ACCTGGACAAAACCAAACAGGAGGTCAGAGCAGGACAGGCGAGCTTGATGGGGCCTGGGATTCGAGGGCCTGGCCCAGGTAGGCCCCACATTTTTCTCATAAACGAGT</t>
  </si>
  <si>
    <t>ACCTGGACAAAACCAAACAGGTAGAAGGTCAGAGCAGGACAGGCGAGCTTGATGGGGCCTGGGATTCGAGGGCCTGGCCCAGGTAGGCCCCACATTTTTCTCATAAACGAGT</t>
  </si>
  <si>
    <t>ACCTGGACAAAACCAAACAGGTAGGTGGTCAGAGCAGGACAGGCGAGCTTGATGGGGCCTGGGATTCGAGGGCCTGGCCCAGGTAGGCCCCACATTTTTCTCATAAACGAGT</t>
  </si>
  <si>
    <t>ACCTGGACAAAACCAAACAGGTAGGAAGTCAGAGCAGGACAGGCGAGCTTGATGGGGCCTGGGATTCGAGGGCCTGGCCCAGGTAGGCCCCACATTTTTCTCATAAACGAGT</t>
  </si>
  <si>
    <t>ACCTGGACAAAACCAAACAGGTAGGAGATCAGAGCAGGACAGGCGAGCTTGATGGGGCCTGGGATTCGAGGGCCTGGCCCAGGTAGGCCCCACATTTTTCTCATAAACGAGT</t>
  </si>
  <si>
    <t>ACCTGGACAAAACCAAACAGGTAGGAGGTCAGAGCAGGATAGGCGAGCTTGATGGGGCCTGGGATTCGAGGGCCTGGCCCAGGTAGGCCCCACATTTTTCTCATAAACGAGT</t>
  </si>
  <si>
    <t>ACCTGGACAAAACCAAACAGGTAGGAGGTCAGAGCAGGACAGGTGAGCTTGATGGGGCCTGGGATTCGAGGGCCTGGCCCAGGTAGGCCCCACATTTTTCTCATAAACGAGT</t>
  </si>
  <si>
    <t>ACTGCTGGAGTTCCTGTCCAATGAGTCCCCGCCCTGCCTGCGCATGCACCCGAGAGGTTCGGGCTGTGTAACCTGTGCGGGCTTCTCTGGTGCCCTCTCTCAGGACTCCTTG</t>
  </si>
  <si>
    <t>ACTGCTGGAGTTCCTGTCCAGCGAGTCCCCGCCCTGCCTGCGCATGCACCCGAGAGGTTCGGGCTGTGTAACCTGTGCGGGCTTCTCTGGTGCCCTCTCTCAGGACTCCTTG</t>
  </si>
  <si>
    <t>ACTGCTGGAGTTCCTGTCCAGGGAGTCCCCGCCCTGCCTGCGCATGCACCCGAGAGGTTCGGGCTGTGTAACCTGTGCGGGCTTCTCTGGTGCCCTCTCTCAGGACTCCTTG</t>
  </si>
  <si>
    <t>ACTGCTGGAGTTCCTGTCCAGTGGGTCCCCGCCCTGCCTGCGCATGCACCCGAGAGGTTCGGGCTGTGTAACCTGTGCGGGCTTCTCTGGTGCCCTCTCTCAGGACTCCTTG</t>
  </si>
  <si>
    <t>ACTGCTGGAGTTCCTGTCCAGTGAATCCCCGCCCTGCCTGCGCATGCACCCGAGAGGTTCGGGCTGTGTAACCTGTGCGGGCTTCTCTGGTGCCCTCTCTCAGGACTCCTTG</t>
  </si>
  <si>
    <t>ACTGCTGGAGTTCCTGTCCAGTGACTCCCCGCCCTGCCTGCGCATGCACCCGAGAGGTTCGGGCTGTGTAACCTGTGCGGGCTTCTCTGGTGCCCTCTCTCAGGACTCCTTG</t>
  </si>
  <si>
    <t>ACTGCTGGAGTTCCTGTCCAGTGAGGCCCCGCCCTGCCTGCGCATGCACCCGAGAGGTTCGGGCTGTGTAACCTGTGCGGGCTTCTCTGGTGCCCTCTCTCAGGACTCCTTG</t>
  </si>
  <si>
    <t>ACTGCTGGAGTTCCTGTCCAGTGAGTCCGCGCCCTGCCTGCGCATGCACCCGAGAGGTTCGGGCTGTGTAACCTGTGCGGGCTTCTCTGGTGCCCTCTCTCAGGACTCCTTG</t>
  </si>
  <si>
    <t>ACTGCTGGAGTTCCTGTCCAGTGAGTCCTCGCCCTGCCTGCGCATGCACCCGAGAGGTTCGGGCTGTGTAACCTGTGCGGGCTTCTCTGGTGCCCTCTCTCAGGACTCCTTG</t>
  </si>
  <si>
    <t>ACTGCTGGAGTTCCTGTCCAGTGAGTCCCTGCCCTGCCTGCGCATGCACCCGAGAGGTTCGGGCTGTGTAACCTGTGCGGGCTTCTCTGGTGCCCTCTCTCAGGACTCCTTG</t>
  </si>
  <si>
    <t>ACTGCTGGAGTTCCTGTCCAGTGAGTCCCCGCCCTGCTTGCGCATGCACCCGAGAGGTTCGGGCTGTGTAACCTGTGCGGGCTTCTCTGGTGCCCTCTCTCAGGACTCCTTG</t>
  </si>
  <si>
    <t>ACTGCTGGAGTTCCTGTCCAGTGAGTCCCCGCCCTGCCTGCGTATGCACCCGAGAGGTTCGGGCTGTGTAACCTGTGCGGGCTTCTCTGGTGCCCTCTCTCAGGACTCCTTG</t>
  </si>
  <si>
    <t>ACTGCTGGAGTTCCTGTCCAGTGAGTCCCCGCCCTGCCTGCGCATACACCCGAGAGGTTCGGGCTGTGTAACCTGTGCGGGCTTCTCTGGTGCCCTCTCTCAGGACTCCTTG</t>
  </si>
  <si>
    <t>ACTGCTGGAGTTCCTGTCCAGTGAGTCCCCGCCCTGCCTGCGCATGCACCTGAGAGGTTCGGGCTGTGTAACCTGTGCGGGCTTCTCTGGTGCCCTCTCTCAGGACTCCTTG</t>
  </si>
  <si>
    <t>ACTGCTGGAGTTCCTGTCCAGTGAGTCCCCGCCCTGCCTGCGCATGCACCCGAGAGGTTCGGGCAGTGTAACCTGTGCGGGCTTCTCTGGTGCCCTCTCTCAGGACTCCTTG</t>
  </si>
  <si>
    <t>CCGTACACCAACCCCTCCAAATGAGTGGTCGCCCCAGGCCCTGTGCCTCCCAGCCGTGGCCCCCGCTAGGCCTTGCGGCAGAAAGCCCCGGCAGCCTTTGTCCCCAAGGCCT</t>
  </si>
  <si>
    <t>CCGTACACCAACCCCTCCAACTGAGTGGTCGCCCCAGGCCCTGTGCCTCCCAGCCGTGGCCCCCGCTAGGCCTTGCGGCAGAAAGCCCCGGCAGCCTTTGTCCCCAAGGCCT</t>
  </si>
  <si>
    <t>CCGTACACCAACCCCTCCAATTGAGTGGTCGCCCCAGGCCCTGTGCCTCCCAGCCGTGGCCCCCGCTAGGCCTTGCGGCAGAAAGCCCCGGCAGCCTTTGTCCCCAAGGCCT</t>
  </si>
  <si>
    <t>CCGTACACCAACCCCTCCAAGGTGAGTGGTCGCCCCAGGCCCTGTGCCTCCCAGCCGTGGCCCCCGCTAGGCCTTGCGGCAGAAAGCCCCGGCAGCCTTTGTCCCCAAGGCCT</t>
  </si>
  <si>
    <t>CCGTACACCAACCCCTCCAAGCGAGTGGTCGCCCCAGGCCCTGTGCCTCCCAGCCGTGGCCCCCGCTAGGCCTTGCGGCAGAAAGCCCCGGCAGCCTTTGTCCCCAAGGCCT</t>
  </si>
  <si>
    <t>CCGTACACCAACCCCTCCAAGTGAATGGTCGCCCCAGGCCCTGTGCCTCCCAGCCGTGGCCCCCGCTAGGCCTTGCGGCAGAAAGCCCCGGCAGCCTTTGTCCCCAAGGCCT</t>
  </si>
  <si>
    <t>CCGTACACCAACCCCTCCAAGTGAGTGGTTGCCCCAGGCCCTGTGCCTCCCAGCCGTGGCCCCCGCTAGGCCTTGCGGCAGAAAGCCCCGGCAGCCTTTGTCCCCAAGGCCT</t>
  </si>
  <si>
    <t>CCGTACACCAACCCCTCCAAGTGAGTGGTCACCCCAGGCCCTGTGCCTCCCAGCCGTGGCCCCCGCTAGGCCTTGCGGCAGAAAGCCCCGGCAGCCTTTGTCCCCAAGGCCT</t>
  </si>
  <si>
    <t>CCGTACACCAACCCCTCCAAGTGAGTGGTCGCCGCAGGCCCTGTGCCTCCCAGCCGTGGCCCCCGCTAGGCCTTGCGGCAGAAAGCCCCGGCAGCCTTTGTCCCCAAGGCCT</t>
  </si>
  <si>
    <t>CCGTACACCAACCCCTCCAAGTGAGTGGTCGCCCTAGGCCCTGTGCCTCCCAGCCGTGGCCCCCGCTAGGCCTTGCGGCAGAAAGCCCCGGCAGCCTTTGTCCCCAAGGCCT</t>
  </si>
  <si>
    <t>CCGTACACCAACCCCTCCAAGTGAGTGGTCGCCCCAGGCCCTGTGCCTCCCAGCCGTGGCCTCCGCTAGGCCTTGCGGCAGAAAGCCCCGGCAGCCTTTGTCCCCAAGGCCT</t>
  </si>
  <si>
    <t>CCGTACACCAACCCCTCCAAGTGAGTGGTCGCCCCAGGCCCTGTGCCTCCCAGCCGTGGCCCCGGCTAGGCCTTGCGGCAGAAAGCCCCGGCAGCCTTTGTCCCCAAGGCCT</t>
  </si>
  <si>
    <t>CCGTACACCAACCCCTCCAAGTGAGTGGTCGCCCCAGGCCCTGTGCCTCCCAGCCGTGGCCCCCGCTAGGCCTTCCGGCAGAAAGCCCCGGCAGCCTTTGTCCCCAAGGCCT</t>
  </si>
  <si>
    <t>CCGTACACCAACCCCTCCAAGTGAGTGGTCGCCCCAGGCCCTGTGCCTCCCAGCCGTGGCCCCCGCTAGGCCTTGCGGCAGAAAGCCCTGGCAGCCTTTGTCCCCAAGGCCT</t>
  </si>
  <si>
    <t>TTGTCCCTTTCATCACTAAGATGGGCTCAGGGCCGGTGAAGGCTGTGTCTCTCGGTAGGCCAGGGCTTGCTTTGCCCTTGGCTGTCCATGGTCGGGCAGAGTGACAGGCAGG</t>
  </si>
  <si>
    <t>TTGTCCCTTTCATCACTAAGTTGGGCTCAGGGCCGGTGAAGGCTGTGTCTCTCGGTAGGCCAGGGCTTGCTTTGCCCTTGGCTGTCCATGGTCGGGCAGAGTGACAGGCAGG</t>
  </si>
  <si>
    <t>TTGTCCCTTTCATCACTAAGGCGGGCTCAGGGCCGGTGAAGGCTGTGTCTCTCGGTAGGCCAGGGCTTGCTTTGCCCTTGGCTGTCCATGGTCGGGCAGAGTGACAGGCAGG</t>
  </si>
  <si>
    <t>TTGTCCCTTTCATCACTAAGGTAGGCTCAGGGCCGGTGAAGGCTGTGTCTCTCGGTAGGCCAGGGCTTGCTTTGCCCTTGGCTGTCCATGGTCGGGCAGAGTGACAGGCAGG</t>
  </si>
  <si>
    <t>TTGTCCCTTTCATCACTAAGGTGAGCTCAGGGCCGGTGAAGGCTGTGTCTCTCGGTAGGCCAGGGCTTGCTTTGCCCTTGGCTGTCCATGGTCGGGCAGAGTGACAGGCAGG</t>
  </si>
  <si>
    <t>TTGTCCCTTTCATCACTAAGGTGGACTCAGGGCCGGTGAAGGCTGTGTCTCTCGGTAGGCCAGGGCTTGCTTTGCCCTTGGCTGTCCATGGTCGGGCAGAGTGACAGGCAGG</t>
  </si>
  <si>
    <t>TTGTCCCTTTCATCACTAAGGTGGGGTCAGGGCCGGTGAAGGCTGTGTCTCTCGGTAGGCCAGGGCTTGCTTTGCCCTTGGCTGTCCATGGTCGGGCAGAGTGACAGGCAGG</t>
  </si>
  <si>
    <t>TTGTCCCTTTCATCACTAAGGTGGGTTCAGGGCCGGTGAAGGCTGTGTCTCTCGGTAGGCCAGGGCTTGCTTTGCCCTTGGCTGTCCATGGTCGGGCAGAGTGACAGGCAGG</t>
  </si>
  <si>
    <t>TTGTCCCTTTCATCACTAAGGTGGGCTCAGGGTCGGTGAAGGCTGTGTCTCTCGGTAGGCCAGGGCTTGCTTTGCCCTTGGCTGTCCATGGTCGGGCAGAGTGACAGGCAGG</t>
  </si>
  <si>
    <t>TTGTCCCTTTCATCACTAAGGTGGGCTCAGGGCTGGTGAAGGCTGTGTCTCTCGGTAGGCCAGGGCTTGCTTTGCCCTTGGCTGTCCATGGTCGGGCAGAGTGACAGGCAGG</t>
  </si>
  <si>
    <t>TTGTCCCTTTCATCACTAAGGTGGGCTCAGGGCCAGTGAAGGCTGTGTCTCTCGGTAGGCCAGGGCTTGCTTTGCCCTTGGCTGTCCATGGTCGGGCAGAGTGACAGGCAGG</t>
  </si>
  <si>
    <t>TTGTCCCTTTCATCACTAAGGTGGGCTCAGGGCCGGTGACGGCTGTGTCTCTCGGTAGGCCAGGGCTTGCTTTGCCCTTGGCTGTCCATGGTCGGGCAGAGTGACAGGCAGG</t>
  </si>
  <si>
    <t>CTCAACGAGAGACCCAAGAGTTACGGCCTGCGGGGGTGTGCCTGGAGTCGGTGTGGGGTGGGGAAGGACATGGGGCTGTGGCCTGCCTGACGGTGCCTCCAAGTCAGTGAGT</t>
  </si>
  <si>
    <t>CTCAACGAGAGACCCAAGAGGTGCGGCCTGCGGGGGTGTGCCTGGAGTCGGTGTGGGGTGGGGAAGGACATGGGGCTGTGGCCTGCCTGACGGTGCCTCCAAGTCAGTGAGT</t>
  </si>
  <si>
    <t>CTCAACGAGAGACCCAAGAGGTATGGCCTGCGGGGGTGTGCCTGGAGTCGGTGTGGGGTGGGGAAGGACATGGGGCTGTGGCCTGCCTGACGGTGCCTCCAAGTCAGTGAGT</t>
  </si>
  <si>
    <t>CTCAACGAGAGACCCAAGAGGTACAGCCTGCGGGGGTGTGCCTGGAGTCGGTGTGGGGTGGGGAAGGACATGGGGCTGTGGCCTGCCTGACGGTGCCTCCAAGTCAGTGAGT</t>
  </si>
  <si>
    <t>CTCAACGAGAGACCCAAGAGGTACGGCCCGCGGGGGTGTGCCTGGAGTCGGTGTGGGGTGGGGAAGGACATGGGGCTGTGGCCTGCCTGACGGTGCCTCCAAGTCAGTGAGT</t>
  </si>
  <si>
    <t>CTCAACGAGAGACCCAAGAGGTACGGCCTGCCGGGGGTGTGCCTGGAGTCGGTGTGGGGTGGGGAAGGACATGGGGCTGTGGCCTGCCTGACGGTGCCTCCAAGTCAGTGAGT</t>
  </si>
  <si>
    <t>CTCAACGAGAGACCCAAGAGGTACGGCCTGCAGGGGTGTGCCTGGAGTCGGTGTGGGGTGGGGAAGGACATGGGGCTGTGGCCTGCCTGACGGTGCCTCCAAGTCAGTGAGT</t>
  </si>
  <si>
    <t>CTCAACGAGAGACCCAAGAGGTACGGCCTGCGGGGATGTGCCTGGAGTCGGTGTGGGGTGGGGAAGGACATGGGGCTGTGGCCTGCCTGACGGTGCCTCCAAGTCAGTGAGT</t>
  </si>
  <si>
    <t>CTCAACGAGAGACCCAAGAGGTACGGCCTGCGGGGGTGTGCCTGGAGTCGGTGTGGGGTGGGGAAGGACATGGGGCTGTGGCCTGCCTGACGGTGCCTCTAAGTCAGTGAGT</t>
  </si>
  <si>
    <t>TCTGAACATGTGGTCCGCAGGTATCGGGACTGTCGGGTGGGGGGCACGGACCCTGGAGCTTGGCCCCGTGAGCACCTGGGTGGCAGTGCATGGGGCTGCTTGCATGACCTCA</t>
  </si>
  <si>
    <t>TCTGAACATGTGGTCCGCAGGTAGTGGGACTGTCGGGTGGGGGGCACGGACCCTGGAGCTTGGCCCCGTGAGCACCTGGGTGGCAGTGCATGGGGCTGCTTGCATGACCTCA</t>
  </si>
  <si>
    <t>TCTGAACATGTGGTCCGCAGGTAGCAGGACTGTCGGGTGGGGGGCACGGACCCTGGAGCTTGGCCCCGTGAGCACCTGGGTGGCAGTGCATGGGGCTGCTTGCATGACCTCA</t>
  </si>
  <si>
    <t>TCTGAACATGTGGTCCGCAGGTAGCGGGACTGTCAGGTGGGGGGCACGGACCCTGGAGCTTGGCCCCGTGAGCACCTGGGTGGCAGTGCATGGGGCTGCTTGCATGACCTCA</t>
  </si>
  <si>
    <t>TCTGAACATGTGGTCCGCAGGTAGCGGGACTGTCGGGTTGGGGGCACGGACCCTGGAGCTTGGCCCCGTGAGCACCTGGGTGGCAGTGCATGGGGCTGCTTGCATGACCTCA</t>
  </si>
  <si>
    <t>CGATACGTCTTCTCCAACTTCACGGCTGTCCCGAAGAGATCCAGGCGGCACTACAGGGCTGGGCGGGCCTGCGGGAGCTCCACGGGCAAGCTGGGTTTCACGCTCCCTGTCT</t>
  </si>
  <si>
    <t>CGATACGTCTTCTCCAACTTCACGGCTGTCCCGAAGAGCTCCAGGCGGCACTACAGGGCTGGGCGGGCCTGCGGGAGCTCCACGGGCAAGCTGGGTTTCACGCTCCCTGTCT</t>
  </si>
  <si>
    <t>CGATACGTCTTCTCCAACTTCACGGCTGTCCCGAAGAGGACCAGGCGGCACTACAGGGCTGGGCGGGCCTGCGGGAGCTCCACGGGCAAGCTGGGTTTCACGCTCCCTGTCT</t>
  </si>
  <si>
    <t>CGATACGTCTTCTCCAACTTCACGGCTGTCCCGAAGAGGCCCAGGCGGCACTACAGGGCTGGGCGGGCCTGCGGGAGCTCCACGGGCAAGCTGGGTTTCACGCTCCCTGTCT</t>
  </si>
  <si>
    <t>CGATACGTCTTCTCCAACTTCACGGCTGTCCCGAAGAGGTACAGGCGGCACTACAGGGCTGGGCGGGCCTGCGGGAGCTCCACGGGCAAGCTGGGTTTCACGCTCCCTGTCT</t>
  </si>
  <si>
    <t>CGATACGTCTTCTCCAACTTCACGGCTGTCCCGAAGAGGTCCAGGAGGCACTACAGGGCTGGGCGGGCCTGCGGGAGCTCCACGGGCAAGCTGGGTTTCACGCTCCCTGTCT</t>
  </si>
  <si>
    <t>CGATACGTCTTCTCCAACTTCACGGCTGTCCCGAAGAGGTCCAGGTGGCACTACAGGGCTGGGCGGGCCTGCGGGAGCTCCACGGGCAAGCTGGGTTTCACGCTCCCTGTCT</t>
  </si>
  <si>
    <t>CGATACGTCTTCTCCAACTTCACGGCTGTCCCGAAGAGGTCCAGGCAGCACTACAGGGCTGGGCGGGCCTGCGGGAGCTCCACGGGCAAGCTGGGTTTCACGCTCCCTGTCT</t>
  </si>
  <si>
    <t>CGATACGTCTTCTCCAACTTCACGGCTGTCCCGAAGAGGTCCAGGCTGCACTACAGGGCTGGGCGGGCCTGCGGGAGCTCCACGGGCAAGCTGGGTTTCACGCTCCCTGTCT</t>
  </si>
  <si>
    <t>CGATACGTCTTCTCCAACTTCACGGCTGTCCCGAAGAGGTCCAGGCGGCACTACAGGGCTGGGCGGGCCTGTGGGAGCTCCACGGGCAAGCTGGGTTTCACGCTCCCTGTCT</t>
  </si>
  <si>
    <t>CAGTCCGGCCCGGAGTCGAGTGACTGCACCTTCCTTTCCTCCGCGCCTGCCAGCCTCGACACCGGCTGTCCCGAGCCCAGGCCCACGTGGCACCCTCGTACCAGCCTGGGG</t>
  </si>
  <si>
    <t>CAGTCCGGCCCGGAGTCGAGATGACTGCACCTTCCTTTCCTCCGCGCCTGCCAGCCTCGACACCGGCTGTCCCGAGCCCAGGCCCACGTGGCACCCTCGTACCAGCCTGGGG</t>
  </si>
  <si>
    <t>CAGTCCGGCCCGGAGTCGAGCTGACTGCACCTTCCTTTCCTCCGCGCCTGCCAGCCTCGACACCGGCTGTCCCGAGCCCAGGCCCACGTGGCACCCTCGTACCAGCCTGGGG</t>
  </si>
  <si>
    <t>CAGTCCGGCCCGGAGTCGAGTTGACTGCACCTTCCTTTCCTCCGCGCCTGCCAGCCTCGACACCGGCTGTCCCGAGCCCAGGCCCACGTGGCACCCTCGTACCAGCCTGGGG</t>
  </si>
  <si>
    <t>CAGTCCGGCCCGGAGTCGAGGTGAACTGCACCTTCCTTTCCTCCGCGCCTGCCAGCCTCGACACCGGCTGTCCCGAGCCCAGGCCCACGTGGCACCCTCGTACCAGCCTGGGG</t>
  </si>
  <si>
    <t>CAGTCCGGCCCGGAGTCGAGGTGAATGCACCTTCCTTTCCTCCGCGCCTGCCAGCCTCGACACCGGCTGTCCCGAGCCCAGGCCCACGTGGCACCCTCGTACCAGCCTGGGG</t>
  </si>
  <si>
    <t>CAGTCCGGCCCGGAGTCGAGGTGACGGCACCTTCCTTTCCTCCGCGCCTGCCAGCCTCGACACCGGCTGTCCCGAGCCCAGGCCCACGTGGCACCCTCGTACCAGCCTGGGG</t>
  </si>
  <si>
    <t>CAGTCCGGCCCGGAGTCGAGGTGACTGCATCTTCCTTTCCTCCGCGCCTGCCAGCCTCGACACCGGCTGTCCCGAGCCCAGGCCCACGTGGCACCCTCGTACCAGCCTGGGG</t>
  </si>
  <si>
    <t>CAGTCCGGCCCGGAGTCGAGGTGACTGCACCTTCCTTTCTTCCGCGCCTGCCAGCCTCGACACCGGCTGTCCCGAGCCCAGGCCCACGTGGCACCCTCGTACCAGCCTGGGG</t>
  </si>
  <si>
    <t>CAGTCCGGCCCGGAGTCGAGGTGACTGCACCTTCCTTTCCTCCGCGCCTGCCAGCCTCGACACCAGCTGTCCCGAGCCCAGGCCCACGTGGCACCCTCGTACCAGCCTGGGG</t>
  </si>
  <si>
    <t>TCGGGTCCGTTCCATGTCGGTGAGCCTTGGCCCCAGCCACCTCCACACAGGCACCGGGGCTCCCTCAGTTGCTGCTGGTCCCAGTGTTCAGGAAGGCCCCGAGCCCAGGGG</t>
  </si>
  <si>
    <t>TCGGGTCCGTTCCATGTCGGATGAGCCTTGGCCCCAGCCACCTCCACACAGGCACCGGGGCTCCCTCAGTTGCTGCTGGTCCCAGTGTTCAGGAAGGCCCCGAGCCCAGGGG</t>
  </si>
  <si>
    <t>TCGGGTCCGTTCCATGTCGGGGGAGCCTTGGCCCCAGCCACCTCCACACAGGCACCGGGGCTCCCTCAGTTGCTGCTGGTCCCAGTGTTCAGGAAGGCCCCGAGCCCAGGGG</t>
  </si>
  <si>
    <t>TCGGGTCCGTTCCATGTCGGGTGAACCTTGGCCCCAGCCACCTCCACACAGGCACCGGGGCTCCCTCAGTTGCTGCTGGTCCCAGTGTTCAGGAAGGCCCCGAGCCCAGGGG</t>
  </si>
  <si>
    <t>TCGGGTCCGTTCCATGTCGGGTGATCCTTGGCCCCAGCCACCTCCACACAGGCACCGGGGCTCCCTCAGTTGCTGCTGGTCCCAGTGTTCAGGAAGGCCCCGAGCCCAGGGG</t>
  </si>
  <si>
    <t>TCGGGTCCGTTCCATGTCGGGTGAGCTTTGGCCCCAGCCACCTCCACACAGGCACCGGGGCTCCCTCAGTTGCTGCTGGTCCCAGTGTTCAGGAAGGCCCCGAGCCCAGGGG</t>
  </si>
  <si>
    <t>TCGGGTCCGTTCCATGTCGGGTGAGCCTTGGCCCTAGCCACCTCCACACAGGCACCGGGGCTCCCTCAGTTGCTGCTGGTCCCAGTGTTCAGGAAGGCCCCGAGCCCAGGGG</t>
  </si>
  <si>
    <t>CCTGGTCCGGAGGCCCACAGATACTGGGCGGGGCTGGCCTGAGCGCCATCTTTCTGCCAGTCACCCACAGAGCTGTGGACACTCAGGGGCGATTGCAGACTTGGCCCTCTTG</t>
  </si>
  <si>
    <t>CCTGGTCCGGAGGCCCACAGCTACTGGGCGGGGCTGGCCTGAGCGCCATCTTTCTGCCAGTCACCCACAGAGCTGTGGACACTCAGGGGCGATTGCAGACTTGGCCCTCTTG</t>
  </si>
  <si>
    <t>CCTGGTCCGGAGGCCCACAGTTACTGGGCGGGGCTGGCCTGAGCGCCATCTTTCTGCCAGTCACCCACAGAGCTGTGGACACTCAGGGGCGATTGCAGACTTGGCCCTCTTG</t>
  </si>
  <si>
    <t>CCTGGTCCGGAGGCCCACAGGTATTGGGCGGGGCTGGCCTGAGCGCCATCTTTCTGCCAGTCACCCACAGAGCTGTGGACACTCAGGGGCGATTGCAGACTTGGCCCTCTTG</t>
  </si>
  <si>
    <t>CCTGGTCCGGAGGCCCACAGGTACTAGGCGGGGCTGGCCTGAGCGCCATCTTTCTGCCAGTCACCCACAGAGCTGTGGACACTCAGGGGCGATTGCAGACTTGGCCCTCTTG</t>
  </si>
  <si>
    <t>CCTGGTCCGGAGGCCCACAGGTACTGGGTGGGGCTGGCCTGAGCGCCATCTTTCTGCCAGTCACCCACAGAGCTGTGGACACTCAGGGGCGATTGCAGACTTGGCCCTCTTG</t>
  </si>
  <si>
    <t>CCTGGTCCGGAGGCCCACAGGTACTGGGCAGGGCTGGCCTGAGCGCCATCTTTCTGCCAGTCACCCACAGAGCTGTGGACACTCAGGGGCGATTGCAGACTTGGCCCTCTTG</t>
  </si>
  <si>
    <t>CCTGGTCCGGAGGCCCACAGGTACTGGGCGGGGCTGGCCTGAGTGCCATCTTTCTGCCAGTCACCCACAGAGCTGTGGACACTCAGGGGCGATTGCAGACTTGGCCCTCTTG</t>
  </si>
  <si>
    <t>CCTGGTCCGGAGGCCCACAGGTACTGGGCGGGGCTGGCCTGAGCCCCATCTTTCTGCCAGTCACCCACAGAGCTGTGGACACTCAGGGGCGATTGCAGACTTGGCCCTCTTG</t>
  </si>
  <si>
    <t>CCTGGTCCGGAGGCCCACAGGTACTGGGCGGGGCTGGCCTGAGCGCCATCTTTCTGCCAGTCCACCCACAGAGCTGTGGACACTCAGGGGCGATTGCAGACTTGGCCCTCTTG</t>
  </si>
  <si>
    <t>TCTGCCTCGCTCCAACACAGATGAGTGGCATGGCGGGCCTTGGCACGGGCTCTGCTCCCACTGGCCTGGTGCTCCCGGTGACGGCAATGTGGCTCCTCTCTGCTGAGGGCGC</t>
  </si>
  <si>
    <t>TCTGCCTCGCTCCAACACAGCTGAGTGGCATGGCGGGCCTTGGCACGGGCTCTGCTCCCACTGGCCTGGTGCTCCCGGTGACGGCAATGTGGCTCCTCTCTGCTGAGGGCGC</t>
  </si>
  <si>
    <t>TCTGCCTCGCTCCAACACAGGTGAATGGCATGGCGGGCCTTGGCACGGGCTCTGCTCCCACTGGCCTGGTGCTCCCGGTGACGGCAATGTGGCTCCTCTCTGCTGAGGGCGC</t>
  </si>
  <si>
    <t>TCTGCCTCGCTCCAACACAGGTGAGTGCCATGGCGGGCCTTGGCACGGGCTCTGCTCCCACTGGCCTGGTGCTCCCGGTGACGGCAATGTGGCTCCTCTCTGCTGAGGGCGC</t>
  </si>
  <si>
    <t>TCTGCCTCGCTCCAACACAGGTGAGTGGCGTGGCGGGCCTTGGCACGGGCTCTGCTCCCACTGGCCTGGTGCTCCCGGTGACGGCAATGTGGCTCCTCTCTGCTGAGGGCGC</t>
  </si>
  <si>
    <t>TCTGCCTCGCTCCAACACAGGTGAGTGGCATGGCAGGCCTTGGCACGGGCTCTGCTCCCACTGGCCTGGTGCTCCCGGTGACGGCAATGTGGCTCCTCTCTGCTGAGGGCGC</t>
  </si>
  <si>
    <t>TCTGCCTCGCTCCAACACAGGTGAGTGGCATGGCGGGCCTTGGCACGGGCTCTGCTCCCACTGGCCTGGTGCTCCTGGTGACGGCAATGTGGCTCCTCTCTGCTGAGGGCGC</t>
  </si>
  <si>
    <t>CAGGAGCGTTTCCTGGGCAGGTATTGCCTCTCAGAGGGAAGCGGTTGGCTGCAGAGCGCCACTCTGCCTCATAGGTGCTGTGCTCGTCGCCTCATCCGCCCACCCCCATGGT</t>
  </si>
  <si>
    <t>CAGGAGCGTTTCCTGGGCAGGTATCACCTCTCAGAGGGAAGCGGTTGGCTGCAGAGCGCCACTCTGCCTCATAGGTGCTGTGCTCGTCGCCTCATCCGCCCACCCCCATGGT</t>
  </si>
  <si>
    <t>CAGGAGCGTTTCCTGGGCAGGTATCGCGTCTCAGAGGGAAGCGGTTGGCTGCAGAGCGCCACTCTGCCTCATAGGTGCTGTGCTCGTCGCCTCATCCGCCCACCCCCATGGT</t>
  </si>
  <si>
    <t>CAGGAGCGTTTCCTGGGCAGGTATCGCCTCAGAGGGAAGCGGTTGGCTGCAGAGCGCCACTCTGCCTCATAGGTGCTGTGCTCGTCGCCTCATCCGCCCACCCCCATGGT</t>
  </si>
  <si>
    <t>CAGGAGCGTTTCCTGGGCAGGTATCGCCTCTCTCAGAGGGAAGCGGTTGGCTGCAGAGCGCCACTCTGCCTCATAGGTGCTGTGCTCGTCGCCTCATCCGCCCACCCCCATGGT</t>
  </si>
  <si>
    <t>CAGGAGCGTTTCCTGGGCAGGTATCGCCTCTCAGGGAAGCGGTTGGCTGCAGAGCGCCACTCTGCCTCATAGGTGCTGTGCTCGTCGCCTCATCCGCCCACCCCCATGGT</t>
  </si>
  <si>
    <t>CAGGAGCGTTTCCTGGGCAGGTATCGCCTCTCAGAGGGAAGCGGTTGGCTGCAGAGTGCCACTCTGCCTCATAGGTGCTGTGCTCGTCGCCTCATCCGCCCACCCCCATGGT</t>
  </si>
  <si>
    <t>CAGGAGCGTTTCCTGGGCAGGTATCGCCTCTCAGAGGGAAGCGGTTGGCTGCAGAGCGCCGCTCTGCCTCATAGGTGCTGTGCTCGTCGCCTCATCCGCCCACCCCCATGGT</t>
  </si>
  <si>
    <t>CAGGAGCGTTTCCTGGGCAGGTATCGCCTCTCAGAGGGAAGCGGTTGGCTGCAGAGCGCCACTCTGCCTCATAGGTGCTGTGCTCGTCGCCTCATACGCCCACCCCCATGGT</t>
  </si>
  <si>
    <t>CAGGAGCGTTTCCTGGGCAGGTATCGCCTCTCAGAGGGAAGCGGTTGGCTGCAGAGCGCCACTCTGCCTCATAGGTGCTGTGCTCGTCGCCTCATCCACCCACCCCCATGGT</t>
  </si>
  <si>
    <t>GCACGGATGCCTACAGCAGGATGAGTGTGGCTCAGAGCCTGGACCCTGCTGACCTCGGGGGGCTCCTTAGGGGAGGCAGGGCTCTGCGTGGGTGTGCCTGCACCCTGGGAAC</t>
  </si>
  <si>
    <t>GCACGGATGCCTACAGCAGGTTGAGTGTGGCTCAGAGCCTGGACCCTGCTGACCTCGGGGGGCTCCTTAGGGGAGGCAGGGCTCTGCGTGGGTGTGCCTGCACCCTGGGAAC</t>
  </si>
  <si>
    <t>GCACGGATGCCTACAGCAGGGAGAGTGTGGCTCAGAGCCTGGACCCTGCTGACCTCGGGGGGCTCCTTAGGGGAGGCAGGGCTCTGCGTGGGTGTGCCTGCACCCTGGGAAC</t>
  </si>
  <si>
    <t>GCACGGATGCCTACAGCAGGGTGAGTGAGTGTGGCTCAGAGCCTGGACCCTGCTGACCTCGGGGGGCTCCTTAGGGGAGGCAGGGCTCTGCGTGGGTGTGCCTGCACCCTGGGAAC</t>
  </si>
  <si>
    <t>GCACGGATGCCTACAGCAGGGTGAGTGTGGCTCAGAACCTGGACCCTGCTGACCTCGGGGGGCTCCTTAGGGGAGGCAGGGCTCTGCGTGGGTGTGCCTGCACCCTGGGAAC</t>
  </si>
  <si>
    <t>GTGCCAGGCATCAACCCCAGTGGGCCTCTTGCTTCCGGGCGGGGCTCCTGACACCTCTCCTGCGGGAACCTGGTGCCTCACTTGCCCCAGGCCGAGCGGGCTGGGGTGGGG</t>
  </si>
  <si>
    <t>GTGCCAGGCATCAACCCCAGATGGGCCTCTTGCTTCCGGGCGGGGCTCCTGACACCTCTCCTGCGGGAACCTGGTGCCTCACTTGCCCCAGGCCGAGCGGGCTGGGGTGGGG</t>
  </si>
  <si>
    <t>GTGCCAGGCATCAACCCCAGTTGGGCCTCTTGCTTCCGGGCGGGGCTCCTGACACCTCTCCTGCGGGAACCTGGTGCCTCACTTGCCCCAGGCCGAGCGGGCTGGGGTGGGG</t>
  </si>
  <si>
    <t>GTGCCAGGCATCAACCCCAGGAGGGCCTCTTGCTTCCGGGCGGGGCTCCTGACACCTCTCCTGCGGGAACCTGGTGCCTCACTTGCCCCAGGCCGAGCGGGCTGGGGTGGGG</t>
  </si>
  <si>
    <t>GTGCCAGGCATCAACCCCAGGCGGGCCTCTTGCTTCCGGGCGGGGCTCCTGACACCTCTCCTGCGGGAACCTGGTGCCTCACTTGCCCCAGGCCGAGCGGGCTGGGGTGGGG</t>
  </si>
  <si>
    <t>GTGCCAGGCATCAACCCCAGGTGGGTCTCTTGCTTCCGGGCGGGGCTCCTGACACCTCTCCTGCGGGAACCTGGTGCCTCACTTGCCCCAGGCCGAGCGGGCTGGGGTGGGG</t>
  </si>
  <si>
    <t>GTGCCAGGCATCAACCCCAGGTGGGCATCTTGCTTCCGGGCGGGGCTCCTGACACCTCTCCTGCGGGAACCTGGTGCCTCACTTGCCCCAGGCCGAGCGGGCTGGGGTGGGG</t>
  </si>
  <si>
    <t>GTGCCAGGCATCAACCCCAGGTGGGCCTCCTGCTTCCGGGCGGGGCTCCTGACACCTCTCCTGCGGGAACCTGGTGCCTCACTTGCCCCAGGCCGAGCGGGCTGGGGTGGGG</t>
  </si>
  <si>
    <t>GTGCCAGGCATCAACCCCAGGTGGGCCTCTTGCTTGCGGGCGGGGCTCCTGACACCTCTCCTGCGGGAACCTGGTGCCTCACTTGCCCCAGGCCGAGCGGGCTGGGGTGGGG</t>
  </si>
  <si>
    <t>GTGCCAGGCATCAACCCCAGGTGGGCCTCTTGCTTCTGGGCGGGGCTCCTGACACCTCTCCTGCGGGAACCTGGTGCCTCACTTGCCCCAGGCCGAGCGGGCTGGGGTGGGG</t>
  </si>
  <si>
    <t>GTGCCAGGCATCAACCCCAGGTGGGCCTCTTGCTTCCAGGCGGGGCTCCTGACACCTCTCCTGCGGGAACCTGGTGCCTCACTTGCCCCAGGCCGAGCGGGCTGGGGTGGGG</t>
  </si>
  <si>
    <t>GTGCCAGGCATCAACCCCAGGTGGGCCTCTTGCTTCCGGGCGGGTCTCCTGACACCTCTCCTGCGGGAACCTGGTGCCTCACTTGCCCCAGGCCGAGCGGGCTGGGGTGGGG</t>
  </si>
  <si>
    <t>GTGCCAGGCATCAACCCCAGGTGGGCCTCTTGCTTCCGGGCGGGGCTCCTGACACCTCTCCTGCGGGAACCTGGTGCCTCACTTGCCCCAGGCCGAGCGGGCTGGGTGGGG</t>
  </si>
  <si>
    <t>CAATCCTGCTGCCCAATGAGATAGGCGTGGCCTCCCTCTCCTGCATCCGCTGGAGCTGTGTGGCTCGGGTGAATGGTGGGGGGCCCAGCTCTGCTGCTGGGAGCTCAGGCTT</t>
  </si>
  <si>
    <t>CAATCCTGCTGCCCAATGAGTTAGGCGTGGCCTCCCTCTCCTGCATCCGCTGGAGCTGTGTGGCTCGGGTGAATGGTGGGGGGCCCAGCTCTGCTGCTGGGAGCTCAGGCTT</t>
  </si>
  <si>
    <t>CAATCCTGCTGCCCAATGAGGAAGGCGTGGCCTCCCTCTCCTGCATCCGCTGGAGCTGTGTGGCTCGGGTGAATGGTGGGGGGCCCAGCTCTGCTGCTGGGAGCTCAGGCTT</t>
  </si>
  <si>
    <t>CAATCCTGCTGCCCAATGAGGCAGGCGTGGCCTCCCTCTCCTGCATCCGCTGGAGCTGTGTGGCTCGGGTGAATGGTGGGGGGCCCAGCTCTGCTGCTGGGAGCTCAGGCTT</t>
  </si>
  <si>
    <t>CAATCCTGCTGCCCAATGAGGGAGGCGTGGCCTCCCTCTCCTGCATCCGCTGGAGCTGTGTGGCTCGGGTGAATGGTGGGGGGCCCAGCTCTGCTGCTGGGAGCTCAGGCTT</t>
  </si>
  <si>
    <t>CAATCCTGCTGCCCAATGAGGTAAGCGTGGCCTCCCTCTCCTGCATCCGCTGGAGCTGTGTGGCTCGGGTGAATGGTGGGGGGCCCAGCTCTGCTGCTGGGAGCTCAGGCTT</t>
  </si>
  <si>
    <t>CAATCCTGCTGCCCAATGAGGTAGGTGTGGCCTCCCTCTCCTGCATCCGCTGGAGCTGTGTGGCTCGGGTGAATGGTGGGGGGCCCAGCTCTGCTGCTGGGAGCTCAGGCTT</t>
  </si>
  <si>
    <t>CAATCCTGCTGCCCAATGAGGTAGGCCTGGCCTCCCTCTCCTGCATCCGCTGGAGCTGTGTGGCTCGGGTGAATGGTGGGGGGCCCAGCTCTGCTGCTGGGAGCTCAGGCTT</t>
  </si>
  <si>
    <t>CAATCCTGCTGCCCAATGAGGTAGGCGTGGCTTCCCTCTCCTGCATCCGCTGGAGCTGTGTGGCTCGGGTGAATGGTGGGGGGCCCAGCTCTGCTGCTGGGAGCTCAGGCTT</t>
  </si>
  <si>
    <t>CAATCCTGCTGCCCAATGAGGTAGGCGTGGCCTCCCTCTCCTGCATCCGCTGGAGCTGTGTGGTTCGGGTGAATGGTGGGGGGCCCAGCTCTGCTGCTGGGAGCTCAGGCTT</t>
  </si>
  <si>
    <t>CAATCCTGCTGCCCAATGAGGTAGGCGTGGCCTCCCTCTCCTGCATCCGCTGGAGCTGTGTGGCTTGGGTGAATGGTGGGGGGCCCAGCTCTGCTGCTGGGAGCTCAGGCTT</t>
  </si>
  <si>
    <t>CAATCCTGCTGCCCAATGAGGTAGGCGTGGCCTCCCTCTCCTGCATCCGCTGGAGCTGTGTGGCTCAGGTGAATGGTGGGGGGCCCAGCTCTGCTGCTGGGAGCTCAGGCTT</t>
  </si>
  <si>
    <t>CAATCCTGCTGCCCAATGAGGTAGGCGTGGCCTCCCTCTCCTGCATCCGCTGGAGCTGTGTGGCTCGGGAGAATGGTGGGGGGCCCAGCTCTGCTGCTGGGAGCTCAGGCTT</t>
  </si>
  <si>
    <t>CAATCCTGCTGCCCAATGAGGTAGGCGTGGCCTCCCTCTCCTGCATCCGCTGGAGCTGTGTGGCTCGGGTGAATGGTGGGGGGCCCAGCTCTGCTGCTGAGAGCTCAGGCTT</t>
  </si>
  <si>
    <t>TGTATGTTGGAGAAGGCCAGATGAGGCTGCGGGGCCGGCCTAGGTGCCTGGACAGGGCCAGCTGGGCCTCAGCCTGCAGTGGGTAGGGAGTCTGGGCCCCCAACGCCCCACA</t>
  </si>
  <si>
    <t>TGTATGTTGGAGAAGGCCAGCTGAGGCTGCGGGGCCGGCCTAGGTGCCTGGACAGGGCCAGCTGGGCCTCAGCCTGCAGTGGGTAGGGAGTCTGGGCCCCCAACGCCCCACA</t>
  </si>
  <si>
    <t>TGTATGTTGGAGAAGGCCAGTTGAGGCTGCGGGGCCGGCCTAGGTGCCTGGACAGGGCCAGCTGGGCCTCAGCCTGCAGTGGGTAGGGAGTCTGGGCCCCCAACGCCCCACA</t>
  </si>
  <si>
    <t>TGTATGTTGGAGAAGGCCAGGCTGCGGGGCCGGCCTAGGTGCCTGGACAGGGCCAGCTGGGCCTCAGCCTGCAGTGGGTAGGGAGTCTGGGCCCCCAACGCCCCACA</t>
  </si>
  <si>
    <t>TGTATGTTGGAGAAGGCCAGGTGAGGTTGCGGGGCCGGCCTAGGTGCCTGGACAGGGCCAGCTGGGCCTCAGCCTGCAGTGGGTAGGGAGTCTGGGCCCCCAACGCCCCACA</t>
  </si>
  <si>
    <t>TGTATGTTGGAGAAGGCCAGGTGAGGCTGTGGGGCCGGCCTAGGTGCCTGGACAGGGCCAGCTGGGCCTCAGCCTGCAGTGGGTAGGGAGTCTGGGCCCCCAACGCCCCACA</t>
  </si>
  <si>
    <t>TGTATGTTGGAGAAGGCCAGGTGAGGCTGCAGGGCCGGCCTAGGTGCCTGGACAGGGCCAGCTGGGCCTCAGCCTGCAGTGGGTAGGGAGTCTGGGCCCCCAACGCCCCACA</t>
  </si>
  <si>
    <t>TGTATGTTGGAGAAGGCCAGGTGAGGCTGCGGGGCTGGCCTAGGTGCCTGGACAGGGCCAGCTGGGCCTCAGCCTGCAGTGGGTAGGGAGTCTGGGCCCCCAACGCCCCACA</t>
  </si>
  <si>
    <t>TGTATGTTGGAGAAGGCCAGGTGAGGCTGCGGGGCCAGCCTAGGTGCCTGGACAGGGCCAGCTGGGCCTCAGCCTGCAGTGGGTAGGGAGTCTGGGCCCCCAACGCCCCACA</t>
  </si>
  <si>
    <t>TGTATGTTGGAGAAGGCCAGGTGAGGCTGCGGGGCCGACCTAGGTGCCTGGACAGGGCCAGCTGGGCCTCAGCCTGCAGTGGGTAGGGAGTCTGGGCCCCCAACGCCCCACA</t>
  </si>
  <si>
    <t>TGTATGTTGGAGAAGGCCAGGTGAGGCTGCGGGGCCGGCCTAGGTGCCTGGACAGGGCCACCTGGGCCTCAGCCTGCAGTGGGTAGGGAGTCTGGGCCCCCAACGCCCCACA</t>
  </si>
  <si>
    <t>GCACGATGACATCATGCAAGATACGGCCTGGCGCCTACCCGCTCCTGCTGCCCCAGGCCTCAGGGCACGGCTCCCATCCAGTCCTGCTACCCCACGCCCTGGGGCATGGCCC</t>
  </si>
  <si>
    <t>GCACGATGACATCATGCAAGGAACGGCCTGGCGCCTACCCGCTCCTGCTGCCCCAGGCCTCAGGGCACGGCTCCCATCCAGTCCTGCTACCCCACGCCCTGGGGCATGGCCC</t>
  </si>
  <si>
    <t>GCACGATGACATCATGCAAGGTGTACGGCCTGGCGCCTACCCGCTCCTGCTGCCCCAGGCCTCAGGGCACGGCTCCCATCCAGTCCTGCTACCCCACGCCCTGGGGCATGGCCC</t>
  </si>
  <si>
    <t>GCACGATGACATCATGCAAGGTGCGGCCTGGCGCCTACCCGCTCCTGCTGCCCCAGGCCTCAGGGCACGGCTCCCATCCAGTCCTGCTACCCCACGCCCTGGGGCATGGCCC</t>
  </si>
  <si>
    <t>GCACGATGACATCATGCAAGGTAAGGCCTGGCGCCTACCCGCTCCTGCTGCCCCAGGCCTCAGGGCACGGCTCCCATCCAGTCCTGCTACCCCACGCCCTGGGGCATGGCCC</t>
  </si>
  <si>
    <t>GCACGATGACATCATGCAAGGTATGGCCTGGCGCCTACCCGCTCCTGCTGCCCCAGGCCTCAGGGCACGGCTCCCATCCAGTCCTGCTACCCCACGCCCTGGGGCATGGCCC</t>
  </si>
  <si>
    <t>GCACGATGACATCATGCAAGGTACGGCCTGGTGCCTACCCGCTCCTGCTGCCCCAGGCCTCAGGGCACGGCTCCCATCCAGTCCTGCTACCCCACGCCCTGGGGCATGGCCC</t>
  </si>
  <si>
    <t>GCACGATGACATCATGCAAGGTACGGCCTGGCACCTACCCGCTCCTGCTGCCCCAGGCCTCAGGGCACGGCTCCCATCCAGTCCTGCTACCCCACGCCCTGGGGCATGGCCC</t>
  </si>
  <si>
    <t>GCACGATGACATCATGCAAGGTACGGCCTGGCGCCTATCCGCTCCTGCTGCCCCAGGCCTCAGGGCACGGCTCCCATCCAGTCCTGCTACCCCACGCCCTGGGGCATGGCCC</t>
  </si>
  <si>
    <t>GCACGATGACATCATGCAAGGTACGGCCTGGCGCCTACCTGCTCCTGCTGCCCCAGGCCTCAGGGCACGGCTCCCATCCAGTCCTGCTACCCCACGCCCTGGGGCATGGCCC</t>
  </si>
  <si>
    <t>GCACGATGACATCATGCAAGGTACGGCCTGGCGCCTACCCGCTCCTGCTGCCCTAGGCCTCAGGGCACGGCTCCCATCCAGTCCTGCTACCCCACGCCCTGGGGCATGGCCC</t>
  </si>
  <si>
    <t>GCACGATGACATCATGCAAGGTACGGCCTGGCGCCTACCCGCTCCTGCTGCCCCAGGCCTCAGGGCATGGCTCCCATCCAGTCCTGCTACCCCACGCCCTGGGGCATGGCCC</t>
  </si>
  <si>
    <t>GCACGATGACATCATGCAAGGTACGGCCTGGCGCCTACCCGCTCCTGCTGCCCCAGGCCTCAGGGCACGGCTCCCATCCAGTCCTGCTACCCCATGCCCTGGGGCATGGCCC</t>
  </si>
  <si>
    <t>GCACGATGACATCATGCAAGGTACGGCCTGGCGCCTACCCGCTCCTGCTGCCCCAGGCCTCAGGGCACGGCTCCCATCCAGTCCTGCTACCCCACACCCTGGGGCATGGCCC</t>
  </si>
  <si>
    <t>TCAAGCTTGGCACCATCAAGTGAGTGAGGGGCCGTCAGTGAGGCTGGGCCCCAGGCAGGTGCCCACTGCTGTGTCCCGGGTTGGTGGCAGGTCCTCCTCCCTGAGCTTCGG</t>
  </si>
  <si>
    <t>TCAAGCTTGGCACCATCAAGATGAGTGAGGGGCCGTCAGTGAGGCTGGGCCCCAGGCAGGTGCCCACTGCTGTGTCCCGGGTTGGTGGCAGGTCCTCCTCCCTGAGCTTCGG</t>
  </si>
  <si>
    <t>TCAAGCTTGGCACCATCAAGCTGAGTGAGGGGCCGTCAGTGAGGCTGGGCCCCAGGCAGGTGCCCACTGCTGTGTCCCGGGTTGGTGGCAGGTCCTCCTCCCTGAGCTTCGG</t>
  </si>
  <si>
    <t>TCAAGCTTGGCACCATCAAGTTGAGTGAGGGGCCGTCAGTGAGGCTGGGCCCCAGGCAGGTGCCCACTGCTGTGTCCCGGGTTGGTGGCAGGTCCTCCTCCCTGAGCTTCGG</t>
  </si>
  <si>
    <t>TCAAGCTTGGCACCATCAAGGATGAGTGAGGGGCCGTCAGTGAGGCTGGGCCCCAGGCAGGTGCCCACTGCTGTGTCCCGGGTTGGTGGCAGGTCCTCCTCCCTGAGCTTCGG</t>
  </si>
  <si>
    <t>TCAAGCTTGGCACCATCAAGGGTGAGTGAGGGGCCGTCAGTGAGGCTGGGCCCCAGGCAGGTGCCCACTGCTGTGTCCCGGGTTGGTGGCAGGTCCTCCTCCCTGAGCTTCGG</t>
  </si>
  <si>
    <t>TCAAGCTTGGCACCATCAAGGGGAGTGAGGGGCCGTCAGTGAGGCTGGGCCCCAGGCAGGTGCCCACTGCTGTGTCCCGGGTTGGTGGCAGGTCCTCCTCCCTGAGCTTCGG</t>
  </si>
  <si>
    <t>TCAAGCTTGGCACCATCAAGGTTGAGTGAGGGGCCGTCAGTGAGGCTGGGCCCCAGGCAGGTGCCCACTGCTGTGTCCCGGGTTGGTGGCAGGTCCTCCTCCCTGAGCTTCGG</t>
  </si>
  <si>
    <t>TCAAGCTTGGCACCATCAAGGTGATGAGGGGCCGTCAGTGAGGCTGGGCCCCAGGCAGGTGCCCACTGCTGTGTCCCGGGTTGGTGGCAGGTCCTCCTCCCTGAGCTTCGG</t>
  </si>
  <si>
    <t>TCAAGCTTGGCACCATCAAGGTGAATGAGGGGCCGTCAGTGAGGCTGGGCCCCAGGCAGGTGCCCACTGCTGTGTCCCGGGTTGGTGGCAGGTCCTCCTCCCTGAGCTTCGG</t>
  </si>
  <si>
    <t>TCAAGCTTGGCACCATCAAGGTGAGTGAGGGACCGTCAGTGAGGCTGGGCCCCAGGCAGGTGCCCACTGCTGTGTCCCGGGTTGGTGGCAGGTCCTCCTCCCTGAGCTTCGG</t>
  </si>
  <si>
    <t>TCAAGCTTGGCACCATCAAGGTGAGTGAGGGGCCATCAGTGAGGCTGGGCCCCAGGCAGGTGCCCACTGCTGTGTCCCGGGTTGGTGGCAGGTCCTCCTCCCTGAGCTTCGG</t>
  </si>
  <si>
    <t>TCAAGCTTGGCACCATCAAGGTGAGTGAGGGGCCGTCAGTGAGGCTGGGCCCCAGGCAGGTGCCCACTGCTTGTGTCCCGGGTTGGTGGCAGGTCCTCCTCCCTGAGCTTCGG</t>
  </si>
  <si>
    <t>GTCCCTGCAGTGCAGGAAAGTAGGGCCGGGTGGGGCCCTGCAGTGCAGGAAAGGTAGGGCCGGGTGGGGCCCTGCAGTGTGGCGCCAAGAGCCCTGGGCCTGGCGTGACCA</t>
  </si>
  <si>
    <t>GTCCCTGCAGTGCAGGAAAGATAGGGCCGGGTGGGGCCCTGCAGTGCAGGAAAGGTAGGGCCGGGTGGGGCCCTGCAGTGTGGCGCCAAGAGCCCTGGGCCTGGCGTGACCA</t>
  </si>
  <si>
    <t>GTCCCTGCAGTGCAGGAAAGTTAGGGCCGGGTGGGGCCCTGCAGTGCAGGAAAGGTAGGGCCGGGTGGGGCCCTGCAGTGTGGCGCCAAGAGCCCTGGGCCTGGCGTGACCA</t>
  </si>
  <si>
    <t>GTCCCTGCAGTGCAGGAAAGGCAGGGCCGGGTGGGGCCCTGCAGTGCAGGAAAGGTAGGGCCGGGTGGGGCCCTGCAGTGTGGCGCCAAGAGCCCTGGGCCTGGCGTGACCA</t>
  </si>
  <si>
    <t>GTCCCTGCAGTGCAGGAAAGGGAGGGCCGGGTGGGGCCCTGCAGTGCAGGAAAGGTAGGGCCGGGTGGGGCCCTGCAGTGTGGCGCCAAGAGCCCTGGGCCTGGCGTGACCA</t>
  </si>
  <si>
    <t>GTCCCTGCAGTGCAGGAAAGGTAGGGTCGGGTGGGGCCCTGCAGTGCAGGAAAGGTAGGGCCGGGTGGGGCCCTGCAGTGTGGCGCCAAGAGCCCTGGGCCTGGCGTGACCA</t>
  </si>
  <si>
    <t>GTCCCTGCAGTGCAGGAAAGGTAGGGCTGGGTGGGGCCCTGCAGTGCAGGAAAGGTAGGGCCGGGTGGGGCCCTGCAGTGTGGCGCCAAGAGCCCTGGGCCTGGCGTGACCA</t>
  </si>
  <si>
    <t>GTCCCTGCAGTGCAGGAAAGGTAGGGCCAGGTGGGGCCCTGCAGTGCAGGAAAGGTAGGGCCGGGTGGGGCCCTGCAGTGTGGCGCCAAGAGCCCTGGGCCTGGCGTGACCA</t>
  </si>
  <si>
    <t>GTCCCTGCAGTGCAGGAAAGGTAGGGCCGGGTGGGGGCCCTGCAGTGCAGGAAAGGTAGGGCCGGGTGGGGCCCTGCAGTGTGGCGCCAAGAGCCCTGGGCCTGGCGTGACCA</t>
  </si>
  <si>
    <t>GTCCCTGCAGTGCAGGAAAGGTAGGGCCGGGTGGGGCCCTGCAGTGCAGGAAAGGTAGGACCGGGTGGGGCCCTGCAGTGTGGCGCCAAGAGCCCTGGGCCTGGCGTGACCA</t>
  </si>
  <si>
    <t>GTCCCTGCAGTGCAGGAAAGGTAGGGCCGGGTGGGGCCCTGCAGTGCAGGAAAGGTAGGGCTGGGTGGGGCCCTGCAGTGTGGCGCCAAGAGCCCTGGGCCTGGCGTGACCA</t>
  </si>
  <si>
    <t>GTCCCTGCAGTGCAGGAAAGGTAGGGCCGGGTGGGGCCCTGCAGTGCAGGAAAGGTAGGGCCAGGTGGGGCCCTGCAGTGTGGCGCCAAGAGCCCTGGGCCTGGCGTGACCA</t>
  </si>
  <si>
    <t>GTGGCCCGCCAGATGGCCCTGCACGCAAATATGAGTGGGGGTGGGTCCAGGCGTGAGCTGGTGGGACAGGCCCAGGTGCCACCTGATAGTGAGCTCACCCCCTGCCTACGTC</t>
  </si>
  <si>
    <t>GTGGCCCGCCAGATGGCCCTGCACGCAAATCTGAGTGGGGGTGGGTCCAGGCGTGAGCTGGTGGGACAGGCCCAGGTGCCACCTGATAGTGAGCTCACCCCCTGCCTACGTC</t>
  </si>
  <si>
    <t>GTGGCCCGCCAGATGGCCCTGCACGCAAATTTGAGTGGGGGTGGGTCCAGGCGTGAGCTGGTGGGACAGGCCCAGGTGCCACCTGATAGTGAGCTCACCCCCTGCCTACGTC</t>
  </si>
  <si>
    <t>GTGGCCCGCCAGATGGCCCTGCACGCAAATGGTGAGTGGGGGTGGGTCCAGGCGTGAGCTGGTGGGACAGGCCCAGGTGCCACCTGATAGTGAGCTCACCCCCTGCCTACGTC</t>
  </si>
  <si>
    <t>GTGGCCCGCCAGATGGCCCTGCACGCAAATGAGAGTGGGGGTGGGTCCAGGCGTGAGCTGGTGGGACAGGCCCAGGTGCCACCTGATAGTGAGCTCACCCCCTGCCTACGTC</t>
  </si>
  <si>
    <t>GTGGCCCGCCAGATGGCCCTGCACGCAAATGCGAGTGGGGGTGGGTCCAGGCGTGAGCTGGTGGGACAGGCCCAGGTGCCACCTGATAGTGAGCTCACCCCCTGCCTACGTC</t>
  </si>
  <si>
    <t>GTGGCCCGCCAGATGGCCCTGCACGCAAATGGGAGTGGGGGTGGGTCCAGGCGTGAGCTGGTGGGACAGGCCCAGGTGCCACCTGATAGTGAGCTCACCCCCTGCCTACGTC</t>
  </si>
  <si>
    <t>GTGGCCCGCCAGATGGCCCTGCACGCAAATGAGTGGGGGTGGGTCCAGGCGTGAGCTGGTGGGACAGGCCCAGGTGCCACCTGATAGTGAGCTCACCCCCTGCCTACGTC</t>
  </si>
  <si>
    <t>GTGGCCCGCCAGATGGCCCTGCACGCAAATGTTGAGTGGGGGTGGGTCCAGGCGTGAGCTGGTGGGACAGGCCCAGGTGCCACCTGATAGTGAGCTCACCCCCTGCCTACGTC</t>
  </si>
  <si>
    <t>GTGGCCCGCCAGATGGCCCTGCACGCAAATGTCAGTGGGGGTGGGTCCAGGCGTGAGCTGGTGGGACAGGCCCAGGTGCCACCTGATAGTGAGCTCACCCCCTGCCTACGTC</t>
  </si>
  <si>
    <t>GTGGCCCGCCAGATGGCCCTGCACGCAAATGTGCGTGGGGGTGGGTCCAGGCGTGAGCTGGTGGGACAGGCCCAGGTGCCACCTGATAGTGAGCTCACCCCCTGCCTACGTC</t>
  </si>
  <si>
    <t>GTGGCCCGCCAGATGGCCCTGCACGCAAATGTGGGTGGGGGTGGGTCCAGGCGTGAGCTGGTGGGACAGGCCCAGGTGCCACCTGATAGTGAGCTCACCCCCTGCCTACGTC</t>
  </si>
  <si>
    <t>GTGGCCCGCCAGATGGCCCTGCACGCAAATGTGTGTGGGGGTGGGTCCAGGCGTGAGCTGGTGGGACAGGCCCAGGTGCCACCTGATAGTGAGCTCACCCCCTGCCTACGTC</t>
  </si>
  <si>
    <t>GTGGCCCGCCAGATGGCCCTGCACGCAAATGTGAATGGGGGTGGGTCCAGGCGTGAGCTGGTGGGACAGGCCCAGGTGCCACCTGATAGTGAGCTCACCCCCTGCCTACGTC</t>
  </si>
  <si>
    <t>GTGGCCCGCCAGATGGCCCTGCACGCAAATGTGACTGGGGGTGGGTCCAGGCGTGAGCTGGTGGGACAGGCCCAGGTGCCACCTGATAGTGAGCTCACCCCCTGCCTACGTC</t>
  </si>
  <si>
    <t>GTGGCCCGCCAGATGGCCCTGCACGCAAATGTGATTGGGGGTGGGTCCAGGCGTGAGCTGGTGGGACAGGCCCAGGTGCCACCTGATAGTGAGCTCACCCCCTGCCTACGTC</t>
  </si>
  <si>
    <t>GTGGCCCGCCAGATGGCCCTGCACGCAAATGTGAGTTGGGGGTGGGTCCAGGCGTGAGCTGGTGGGACAGGCCCAGGTGCCACCTGATAGTGAGCTCACCCCCTGCCTACGTC</t>
  </si>
  <si>
    <t>GTGGCCCGCCAGATGGCCCTGCACGCAAATGTGAGTCGGGGTGGGTCCAGGCGTGAGCTGGTGGGACAGGCCCAGGTGCCACCTGATAGTGAGCTCACCCCCTGCCTACGTC</t>
  </si>
  <si>
    <t>GTGGCCCGCCAGATGGCCCTGCACGCAAATGTGAGTGGGGGGTGGGTCCAGGCGTGAGCTGGTGGGACAGGCCCAGGTGCCACCTGATAGTGAGCTCACCCCCTGCCTACGTC</t>
  </si>
  <si>
    <t>GTGGCCCGCCAGATGGCCCTGCACGCAAATGTGAGTGGGGGTGGGTCCAGGCATGAGCTGGTGGGACAGGCCCAGGTGCCACCTGATAGTGAGCTCACCCCCTGCCTACGTC</t>
  </si>
  <si>
    <t>GTGGCCCGCCAGATGGCCCTGCACGCAAATGTGAGTGGGGGTGGGTCCAGGCGTGAGCTGGTGGGATAGGCCCAGGTGCCACCTGATAGTGAGCTCACCCCCTGCCTACGTC</t>
  </si>
  <si>
    <t>GTGGCCCGCCAGATGGCCCTGCACGCAAATGTGAGTGGGGGTGGGTCCAGGCGTGAGCTGGTGGGACAGGCCTAGGTGCCACCTGATAGTGAGCTCACCCCCTGCCTACGTC</t>
  </si>
  <si>
    <t>TCAAGCGGCTCCGCCAGCGGTAGGGAATATGGGGCTCCCTCAGCGGGGTGTGCTGGCTGCCCAAGCTGTGGGGCGGGTGTGTGGGCAGAGCGGTTGCCACGCCTCCCAGAC</t>
  </si>
  <si>
    <t>TCAAGCGGCTCCGCCAGCGGGGAGGGAATATGGGGCTCCCTCAGCGGGGTGTGCTGGCTGCCCAAGCTGTGGGGCGGGTGTGTGGGCAGAGCGGTTGCCACGCCTCCCAGAC</t>
  </si>
  <si>
    <t>TCAAGCGGCTCCGCCAGCGGGTCGGGAATATGGGGCTCCCTCAGCGGGGTGTGCTGGCTGCCCAAGCTGTGGGGCGGGTGTGTGGGCAGAGCGGTTGCCACGCCTCCCAGAC</t>
  </si>
  <si>
    <t>TCAAGCGGCTCCGCCAGCGGGTAGGAAATATGGGGCTCCCTCAGCGGGGTGTGCTGGCTGCCCAAGCTGTGGGGCGGGTGTGTGGGCAGAGCGGTTGCCACGCCTCCCAGAC</t>
  </si>
  <si>
    <t>TCAAGCGGCTCCGCCAGCGGGTAGGGGATATGGGGCTCCCTCAGCGGGGTGTGCTGGCTGCCCAAGCTGTGGGGCGGGTGTGTGGGCAGAGCGGTTGCCACGCCTCCCAGAC</t>
  </si>
  <si>
    <t>TCAAGCGGCTCCGCCAGCGGGTAGGGAACATGGGGCTCCCTCAGCGGGGTGTGCTGGCTGCCCAAGCTGTGGGGCGGGTGTGTGGGCAGAGCGGTTGCCACGCCTCCCAGAC</t>
  </si>
  <si>
    <t>TCAAGCGGCTCCGCCAGCGGGTAGGGAATATGGGGCTGCCTCAGCGGGGTGTGCTGGCTGCCCAAGCTGTGGGGCGGGTGTGTGGGCAGAGCGGTTGCCACGCCTCCCAGAC</t>
  </si>
  <si>
    <t>TCAAGCGGCTCCGCCAGCGGGTAGGGAATATGGGGCTCCCTCAGTGGGGTGTGCTGGCTGCCCAAGCTGTGGGGCGGGTGTGTGGGCAGAGCGGTTGCCACGCCTCCCAGAC</t>
  </si>
  <si>
    <t>TCAAGCGGCTCCGCCAGCGGGTAGGGAATATGGGGCTCCCTCAGCGGGGTGTGCTGGGTGCCCAAGCTGTGGGGCGGGTGTGTGGGCAGAGCGGTTGCCACGCCTCCCAGAC</t>
  </si>
  <si>
    <t>AGAGACAGGAGCCTTCGGTG</t>
    <phoneticPr fontId="1" type="noConversion"/>
  </si>
  <si>
    <t>AGGTAGGAGGATAGGCCAGG</t>
    <phoneticPr fontId="1" type="noConversion"/>
  </si>
  <si>
    <t>AGAGACAGGAGCCTTCGGTG</t>
    <phoneticPr fontId="1" type="noConversion"/>
  </si>
  <si>
    <t>AGGTAGGAGGATAGGCCAGG</t>
    <phoneticPr fontId="1" type="noConversion"/>
  </si>
  <si>
    <t>TA</t>
  </si>
  <si>
    <t>AG</t>
  </si>
  <si>
    <t>CA</t>
  </si>
  <si>
    <t>AT</t>
  </si>
  <si>
    <t>CT</t>
  </si>
  <si>
    <t>GC</t>
  </si>
  <si>
    <t>AC</t>
  </si>
  <si>
    <t>CG</t>
  </si>
  <si>
    <t>GT</t>
  </si>
  <si>
    <t>GA</t>
  </si>
  <si>
    <t>TC</t>
  </si>
  <si>
    <t>CAT</t>
  </si>
  <si>
    <t>GAG</t>
  </si>
  <si>
    <t>TAT</t>
  </si>
  <si>
    <t>AGT</t>
  </si>
  <si>
    <t>TGA</t>
  </si>
  <si>
    <t>GTA</t>
  </si>
  <si>
    <t>ATA</t>
  </si>
  <si>
    <t>AGC</t>
  </si>
  <si>
    <t>CGT</t>
  </si>
  <si>
    <t>TGC</t>
  </si>
  <si>
    <t>GCA</t>
  </si>
  <si>
    <t>TCG</t>
  </si>
  <si>
    <t>ACT</t>
  </si>
  <si>
    <t>CGA</t>
  </si>
  <si>
    <t>GGA</t>
  </si>
  <si>
    <t>GAT</t>
  </si>
  <si>
    <t>TG</t>
    <phoneticPr fontId="1" type="noConversion"/>
  </si>
  <si>
    <t>TG</t>
    <phoneticPr fontId="1" type="noConversion"/>
  </si>
  <si>
    <t>TG</t>
    <phoneticPr fontId="1" type="noConversion"/>
  </si>
  <si>
    <t>check ESE left</t>
    <phoneticPr fontId="1" type="noConversion"/>
  </si>
  <si>
    <t>right</t>
    <phoneticPr fontId="1" type="noConversion"/>
  </si>
  <si>
    <t>CC</t>
    <phoneticPr fontId="1" type="noConversion"/>
  </si>
  <si>
    <t>TG</t>
    <phoneticPr fontId="1" type="noConversion"/>
  </si>
  <si>
    <t>TG</t>
    <phoneticPr fontId="1" type="noConversion"/>
  </si>
  <si>
    <t>CC</t>
    <phoneticPr fontId="1" type="noConversion"/>
  </si>
  <si>
    <t>TT</t>
    <phoneticPr fontId="1" type="noConversion"/>
  </si>
  <si>
    <t>TG</t>
    <phoneticPr fontId="1" type="noConversion"/>
  </si>
  <si>
    <t>AA</t>
    <phoneticPr fontId="1" type="noConversion"/>
  </si>
  <si>
    <t>TG</t>
    <phoneticPr fontId="1" type="noConversion"/>
  </si>
  <si>
    <t>TT</t>
    <phoneticPr fontId="1" type="noConversion"/>
  </si>
  <si>
    <t>TGT</t>
  </si>
  <si>
    <t>ACG</t>
  </si>
  <si>
    <t>TCA</t>
  </si>
  <si>
    <t>ATC</t>
    <phoneticPr fontId="1" type="noConversion"/>
  </si>
  <si>
    <t>GTG</t>
  </si>
  <si>
    <t>CAG</t>
  </si>
  <si>
    <t>GCT</t>
  </si>
  <si>
    <t>AGA</t>
  </si>
  <si>
    <t>ATG</t>
  </si>
  <si>
    <t>CAC</t>
  </si>
  <si>
    <t>TAG</t>
  </si>
  <si>
    <t>GTC</t>
  </si>
  <si>
    <t>TAC</t>
  </si>
  <si>
    <t>TG</t>
    <phoneticPr fontId="1" type="noConversion"/>
  </si>
  <si>
    <t>TG</t>
    <phoneticPr fontId="1" type="noConversion"/>
  </si>
  <si>
    <t>TG</t>
    <phoneticPr fontId="1" type="noConversion"/>
  </si>
  <si>
    <t>TG</t>
    <phoneticPr fontId="1" type="noConversion"/>
  </si>
  <si>
    <t>TG</t>
    <phoneticPr fontId="1" type="noConversion"/>
  </si>
  <si>
    <t>TG</t>
    <phoneticPr fontId="1" type="noConversion"/>
  </si>
  <si>
    <t>TG</t>
    <phoneticPr fontId="1" type="noConversion"/>
  </si>
  <si>
    <t>TG</t>
    <phoneticPr fontId="1" type="noConversion"/>
  </si>
  <si>
    <t>AA</t>
    <phoneticPr fontId="1" type="noConversion"/>
  </si>
  <si>
    <t>AA</t>
    <phoneticPr fontId="1" type="noConversion"/>
  </si>
  <si>
    <t>ATC</t>
    <phoneticPr fontId="1" type="noConversion"/>
  </si>
  <si>
    <t>ATC</t>
    <phoneticPr fontId="1" type="noConversion"/>
  </si>
  <si>
    <t>ATC</t>
    <phoneticPr fontId="1" type="noConversion"/>
  </si>
  <si>
    <t>TC</t>
    <phoneticPr fontId="1" type="noConversion"/>
  </si>
  <si>
    <t>TA</t>
    <phoneticPr fontId="1" type="noConversion"/>
  </si>
  <si>
    <t>TT</t>
    <phoneticPr fontId="1" type="noConversion"/>
  </si>
  <si>
    <t>TA</t>
    <phoneticPr fontId="1" type="noConversion"/>
  </si>
  <si>
    <t>TC</t>
    <phoneticPr fontId="1" type="noConversion"/>
  </si>
  <si>
    <t>AG</t>
    <phoneticPr fontId="1" type="noConversion"/>
  </si>
  <si>
    <t>AA</t>
    <phoneticPr fontId="1" type="noConversion"/>
  </si>
  <si>
    <t>TT</t>
    <phoneticPr fontId="1" type="noConversion"/>
  </si>
  <si>
    <t>ATC</t>
  </si>
  <si>
    <t>ATC</t>
    <phoneticPr fontId="1" type="noConversion"/>
  </si>
  <si>
    <t>GTG</t>
    <phoneticPr fontId="1" type="noConversion"/>
  </si>
  <si>
    <t>CAG</t>
    <phoneticPr fontId="1" type="noConversion"/>
  </si>
  <si>
    <t>GTG</t>
    <phoneticPr fontId="1" type="noConversion"/>
  </si>
  <si>
    <t>AA</t>
    <phoneticPr fontId="1" type="noConversion"/>
  </si>
  <si>
    <t>AA</t>
    <phoneticPr fontId="1" type="noConversion"/>
  </si>
  <si>
    <t>ATC</t>
    <phoneticPr fontId="1" type="noConversion"/>
  </si>
  <si>
    <t>GTG</t>
    <phoneticPr fontId="1" type="noConversion"/>
  </si>
  <si>
    <t>AGA</t>
    <phoneticPr fontId="1" type="noConversion"/>
  </si>
  <si>
    <t>ATG</t>
    <phoneticPr fontId="1" type="noConversion"/>
  </si>
  <si>
    <t>GA</t>
    <phoneticPr fontId="1" type="noConversion"/>
  </si>
  <si>
    <t>AA</t>
    <phoneticPr fontId="1" type="noConversion"/>
  </si>
  <si>
    <t>TGT</t>
    <phoneticPr fontId="1" type="noConversion"/>
  </si>
  <si>
    <t>ACG</t>
    <phoneticPr fontId="1" type="noConversion"/>
  </si>
  <si>
    <t>ATA</t>
    <phoneticPr fontId="1" type="noConversion"/>
  </si>
  <si>
    <t>AGC</t>
    <phoneticPr fontId="1" type="noConversion"/>
  </si>
  <si>
    <t>GCA</t>
    <phoneticPr fontId="1" type="noConversion"/>
  </si>
  <si>
    <t>CGA</t>
    <phoneticPr fontId="1" type="noConversion"/>
  </si>
  <si>
    <t>TGC</t>
    <phoneticPr fontId="1" type="noConversion"/>
  </si>
  <si>
    <t>TGT</t>
    <phoneticPr fontId="1" type="noConversion"/>
  </si>
  <si>
    <t>TC</t>
    <phoneticPr fontId="1" type="noConversion"/>
  </si>
  <si>
    <t>CC</t>
    <phoneticPr fontId="1" type="noConversion"/>
  </si>
  <si>
    <t>AGC</t>
    <phoneticPr fontId="1" type="noConversion"/>
  </si>
  <si>
    <t>ACT</t>
    <phoneticPr fontId="1" type="noConversion"/>
  </si>
  <si>
    <t>GAT</t>
    <phoneticPr fontId="1" type="noConversion"/>
  </si>
  <si>
    <t>TGC</t>
    <phoneticPr fontId="1" type="noConversion"/>
  </si>
  <si>
    <t>GGA</t>
    <phoneticPr fontId="1" type="noConversion"/>
  </si>
  <si>
    <t>TGC</t>
    <phoneticPr fontId="1" type="noConversion"/>
  </si>
  <si>
    <t>TA</t>
    <phoneticPr fontId="1" type="noConversion"/>
  </si>
  <si>
    <t>TG</t>
    <phoneticPr fontId="1" type="noConversion"/>
  </si>
  <si>
    <t>CA</t>
    <phoneticPr fontId="1" type="noConversion"/>
  </si>
  <si>
    <t>AA</t>
    <phoneticPr fontId="1" type="noConversion"/>
  </si>
  <si>
    <t>AT</t>
    <phoneticPr fontId="1" type="noConversion"/>
  </si>
  <si>
    <t>TGA</t>
    <phoneticPr fontId="1" type="noConversion"/>
  </si>
  <si>
    <t>GAG</t>
    <phoneticPr fontId="1" type="noConversion"/>
  </si>
  <si>
    <t>GAT</t>
    <phoneticPr fontId="1" type="noConversion"/>
  </si>
  <si>
    <t>TT</t>
    <phoneticPr fontId="1" type="noConversion"/>
  </si>
  <si>
    <t>GCT</t>
    <phoneticPr fontId="1" type="noConversion"/>
  </si>
  <si>
    <t>CAC</t>
    <phoneticPr fontId="1" type="noConversion"/>
  </si>
  <si>
    <t>TGC</t>
    <phoneticPr fontId="1" type="noConversion"/>
  </si>
  <si>
    <t>GCC</t>
    <phoneticPr fontId="1" type="noConversion"/>
  </si>
  <si>
    <t>ACC</t>
    <phoneticPr fontId="1" type="noConversion"/>
  </si>
  <si>
    <t>CGC</t>
    <phoneticPr fontId="1" type="noConversion"/>
  </si>
  <si>
    <t>GTC</t>
    <phoneticPr fontId="1" type="noConversion"/>
  </si>
  <si>
    <t>GAC</t>
    <phoneticPr fontId="1" type="noConversion"/>
  </si>
  <si>
    <t>TCC</t>
    <phoneticPr fontId="1" type="noConversion"/>
  </si>
  <si>
    <t>AGA</t>
    <phoneticPr fontId="1" type="noConversion"/>
  </si>
  <si>
    <t>CAA</t>
    <phoneticPr fontId="1" type="noConversion"/>
  </si>
  <si>
    <t>TGA</t>
    <phoneticPr fontId="1" type="noConversion"/>
  </si>
  <si>
    <t>TAA</t>
    <phoneticPr fontId="1" type="noConversion"/>
  </si>
  <si>
    <t>GCA</t>
    <phoneticPr fontId="1" type="noConversion"/>
  </si>
  <si>
    <t>ACA</t>
    <phoneticPr fontId="1" type="noConversion"/>
  </si>
  <si>
    <t>GTA</t>
    <phoneticPr fontId="1" type="noConversion"/>
  </si>
  <si>
    <t>GAA</t>
    <phoneticPr fontId="1" type="noConversion"/>
  </si>
  <si>
    <t>TCA</t>
    <phoneticPr fontId="1" type="noConversion"/>
  </si>
  <si>
    <t>TC</t>
    <phoneticPr fontId="1" type="noConversion"/>
  </si>
  <si>
    <t>seq_len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</si>
</sst>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4" tint="-0.499984740745262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0" fillId="0" borderId="0" xfId="0" applyFill="1">
      <alignment vertical="center"/>
    </xf>
    <xf numFmtId="0" fontId="0" fillId="5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5"/>
  <sheetViews>
    <sheetView tabSelected="1" topLeftCell="C379" workbookViewId="0">
      <selection activeCell="P485" sqref="P2:P485"/>
    </sheetView>
  </sheetViews>
  <sheetFormatPr defaultRowHeight="16.5" x14ac:dyDescent="0.25"/>
  <cols>
    <col min="2" max="2" width="38.625" customWidth="1"/>
    <col min="4" max="4" width="40.75" customWidth="1"/>
    <col min="5" max="5" width="6.75" customWidth="1"/>
    <col min="6" max="6" width="50" customWidth="1"/>
    <col min="7" max="7" width="7.125" customWidth="1"/>
  </cols>
  <sheetData>
    <row r="1" spans="1:16" x14ac:dyDescent="0.25">
      <c r="B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1012</v>
      </c>
      <c r="M1" t="s">
        <v>1013</v>
      </c>
      <c r="N1" t="s">
        <v>1114</v>
      </c>
    </row>
    <row r="2" spans="1:16" x14ac:dyDescent="0.25">
      <c r="A2">
        <v>2048045</v>
      </c>
      <c r="B2" t="s">
        <v>9</v>
      </c>
      <c r="C2" t="s">
        <v>50</v>
      </c>
      <c r="D2" t="s">
        <v>534</v>
      </c>
      <c r="E2">
        <f t="shared" ref="E2:E65" si="0">COUNTIF(A:A,A2)</f>
        <v>5</v>
      </c>
      <c r="F2" t="str">
        <f>(A2&amp;"_"&amp;D2)</f>
        <v>2048045_wt</v>
      </c>
      <c r="G2" t="s">
        <v>982</v>
      </c>
      <c r="H2" t="s">
        <v>493</v>
      </c>
      <c r="I2" t="s">
        <v>978</v>
      </c>
      <c r="J2" t="s">
        <v>979</v>
      </c>
      <c r="K2" t="str">
        <f>(I2&amp;G2&amp;H2&amp;J2)</f>
        <v>AGAGACAGGAGCCTTCGGTGTAGCGCGGTGGCGCGGCGCGGGGTAAGTGGCGGTCCCCACGGGGCAAGTGGCGGTCCCCACGGGGCAGCGGCCTAGAGAGGCGGACCCCGCAGTGTCCGGGTCCCGGGCCCTCAAGGTAGGAGGATAGGCCAGG</v>
      </c>
      <c r="L2" t="str">
        <f>RIGHT(I2,5)</f>
        <v>CGGTG</v>
      </c>
      <c r="M2" t="str">
        <f>LEFT(H2,5)</f>
        <v>GCGCG</v>
      </c>
      <c r="N2">
        <f>LEN(K2)</f>
        <v>154</v>
      </c>
      <c r="O2">
        <f>LEN(G2)</f>
        <v>2</v>
      </c>
      <c r="P2" t="str">
        <f>LEFT(K2,42)</f>
        <v>AGAGACAGGAGCCTTCGGTGTAGCGCGGTGGCGCGGCGCGGG</v>
      </c>
    </row>
    <row r="3" spans="1:16" x14ac:dyDescent="0.25">
      <c r="A3">
        <v>2048045</v>
      </c>
      <c r="B3" t="s">
        <v>9</v>
      </c>
      <c r="C3" t="s">
        <v>50</v>
      </c>
      <c r="E3">
        <f t="shared" si="0"/>
        <v>5</v>
      </c>
      <c r="F3" t="str">
        <f>(A3&amp;"_"&amp;C3)</f>
        <v>2048045_chr16:2048065-2048066:G&gt;C</v>
      </c>
      <c r="G3" t="s">
        <v>983</v>
      </c>
      <c r="H3" t="s">
        <v>535</v>
      </c>
      <c r="I3" t="s">
        <v>978</v>
      </c>
      <c r="J3" t="s">
        <v>979</v>
      </c>
      <c r="K3" t="str">
        <f t="shared" ref="K3:K66" si="1">(I3&amp;G3&amp;H3&amp;J3)</f>
        <v>AGAGACAGGAGCCTTCGGTGAGGCGCGGTGGCGCGGCGCGGGCTAAGTGGCGGTCCCCACGGGGCAAGTGGCGGTCCCCACGGGGCAGCGGCCTAGAGAGGCGGACCCCGCAGTGTCCGGGTCCCGGGCCCTCAAGGTAGGAGGATAGGCCAGG</v>
      </c>
      <c r="L3" t="str">
        <f t="shared" ref="L3:L66" si="2">RIGHT(I3,5)</f>
        <v>CGGTG</v>
      </c>
      <c r="M3" t="str">
        <f t="shared" ref="M3:M66" si="3">LEFT(H3,5)</f>
        <v>GCGCG</v>
      </c>
      <c r="N3">
        <f t="shared" ref="N3:N66" si="4">LEN(K3)</f>
        <v>154</v>
      </c>
      <c r="O3">
        <f t="shared" ref="O3:O66" si="5">LEN(G3)</f>
        <v>2</v>
      </c>
      <c r="P3" t="str">
        <f t="shared" ref="P3:P66" si="6">LEFT(K3,42)</f>
        <v>AGAGACAGGAGCCTTCGGTGAGGCGCGGTGGCGCGGCGCGGG</v>
      </c>
    </row>
    <row r="4" spans="1:16" x14ac:dyDescent="0.25">
      <c r="A4">
        <v>2048045</v>
      </c>
      <c r="B4" t="s">
        <v>9</v>
      </c>
      <c r="C4" t="s">
        <v>51</v>
      </c>
      <c r="E4">
        <f t="shared" si="0"/>
        <v>5</v>
      </c>
      <c r="F4" t="str">
        <f>(A4&amp;"_"&amp;C4)</f>
        <v>2048045_chr16:2048065-2048066:G&gt;T</v>
      </c>
      <c r="G4" t="s">
        <v>984</v>
      </c>
      <c r="H4" t="s">
        <v>536</v>
      </c>
      <c r="I4" t="s">
        <v>978</v>
      </c>
      <c r="J4" t="s">
        <v>979</v>
      </c>
      <c r="K4" t="str">
        <f t="shared" si="1"/>
        <v>AGAGACAGGAGCCTTCGGTGCAGCGCGGTGGCGCGGCGCGGGTTAAGTGGCGGTCCCCACGGGGCAAGTGGCGGTCCCCACGGGGCAGCGGCCTAGAGAGGCGGACCCCGCAGTGTCCGGGTCCCGGGCCCTCAAGGTAGGAGGATAGGCCAGG</v>
      </c>
      <c r="L4" t="str">
        <f t="shared" si="2"/>
        <v>CGGTG</v>
      </c>
      <c r="M4" t="str">
        <f t="shared" si="3"/>
        <v>GCGCG</v>
      </c>
      <c r="N4">
        <f t="shared" si="4"/>
        <v>154</v>
      </c>
      <c r="O4">
        <f t="shared" si="5"/>
        <v>2</v>
      </c>
      <c r="P4" t="str">
        <f t="shared" si="6"/>
        <v>AGAGACAGGAGCCTTCGGTGCAGCGCGGTGGCGCGGCGCGGG</v>
      </c>
    </row>
    <row r="5" spans="1:16" x14ac:dyDescent="0.25">
      <c r="A5">
        <v>2048045</v>
      </c>
      <c r="B5" t="s">
        <v>9</v>
      </c>
      <c r="C5" t="s">
        <v>52</v>
      </c>
      <c r="E5">
        <f t="shared" si="0"/>
        <v>5</v>
      </c>
      <c r="F5" t="str">
        <f>(A5&amp;"_"&amp;C5)</f>
        <v>2048045_chr16:2048066-2048067:T&gt;C</v>
      </c>
      <c r="G5" t="s">
        <v>985</v>
      </c>
      <c r="H5" t="s">
        <v>537</v>
      </c>
      <c r="I5" t="s">
        <v>978</v>
      </c>
      <c r="J5" t="s">
        <v>979</v>
      </c>
      <c r="K5" t="str">
        <f t="shared" si="1"/>
        <v>AGAGACAGGAGCCTTCGGTGATGCGCGGTGGCGCGGCGCGGGGCAAGTGGCGGTCCCCACGGGGCAAGTGGCGGTCCCCACGGGGCAGCGGCCTAGAGAGGCGGACCCCGCAGTGTCCGGGTCCCGGGCCCTCAAGGTAGGAGGATAGGCCAGG</v>
      </c>
      <c r="L5" t="str">
        <f t="shared" si="2"/>
        <v>CGGTG</v>
      </c>
      <c r="M5" t="str">
        <f t="shared" si="3"/>
        <v>GCGCG</v>
      </c>
      <c r="N5">
        <f t="shared" si="4"/>
        <v>154</v>
      </c>
      <c r="O5">
        <f t="shared" si="5"/>
        <v>2</v>
      </c>
      <c r="P5" t="str">
        <f t="shared" si="6"/>
        <v>AGAGACAGGAGCCTTCGGTGATGCGCGGTGGCGCGGCGCGGG</v>
      </c>
    </row>
    <row r="6" spans="1:16" x14ac:dyDescent="0.25">
      <c r="A6">
        <v>2048045</v>
      </c>
      <c r="B6" t="s">
        <v>9</v>
      </c>
      <c r="C6" t="s">
        <v>53</v>
      </c>
      <c r="E6">
        <f t="shared" si="0"/>
        <v>5</v>
      </c>
      <c r="F6" t="str">
        <f>(A6&amp;"_"&amp;C6)</f>
        <v>2048045_chr16:2048069-2048070:G&gt;T</v>
      </c>
      <c r="G6" t="s">
        <v>1011</v>
      </c>
      <c r="H6" t="s">
        <v>538</v>
      </c>
      <c r="I6" t="s">
        <v>978</v>
      </c>
      <c r="J6" t="s">
        <v>979</v>
      </c>
      <c r="K6" t="str">
        <f t="shared" si="1"/>
        <v>AGAGACAGGAGCCTTCGGTGTGGCGCGGTGGCGCGGCGCGGGGTAATTGGCGGTCCCCACGGGGCAAGTGGCGGTCCCCACGGGGCAGCGGCCTAGAGAGGCGGACCCCGCAGTGTCCGGGTCCCGGGCCCTCAAGGTAGGAGGATAGGCCAGG</v>
      </c>
      <c r="L6" t="str">
        <f t="shared" si="2"/>
        <v>CGGTG</v>
      </c>
      <c r="M6" t="str">
        <f t="shared" si="3"/>
        <v>GCGCG</v>
      </c>
      <c r="N6">
        <f t="shared" si="4"/>
        <v>154</v>
      </c>
      <c r="O6">
        <f t="shared" si="5"/>
        <v>2</v>
      </c>
      <c r="P6" t="str">
        <f t="shared" si="6"/>
        <v>AGAGACAGGAGCCTTCGGTGTGGCGCGGTGGCGCGGCGCGGG</v>
      </c>
    </row>
    <row r="7" spans="1:16" x14ac:dyDescent="0.25">
      <c r="A7">
        <v>2048733</v>
      </c>
      <c r="B7" t="s">
        <v>10</v>
      </c>
      <c r="C7" t="s">
        <v>54</v>
      </c>
      <c r="D7" t="s">
        <v>534</v>
      </c>
      <c r="E7">
        <f t="shared" si="0"/>
        <v>11</v>
      </c>
      <c r="F7" t="str">
        <f>(A7&amp;"_"&amp;D7)</f>
        <v>2048733_wt</v>
      </c>
      <c r="G7" t="s">
        <v>982</v>
      </c>
      <c r="H7" t="s">
        <v>494</v>
      </c>
      <c r="I7" t="s">
        <v>978</v>
      </c>
      <c r="J7" t="s">
        <v>979</v>
      </c>
      <c r="K7" t="str">
        <f t="shared" si="1"/>
        <v>AGAGACAGGAGCCTTCGGTGTATCACCGCGGAAATACTGAGAGTGAGTGAGCTACCTGTGTCTTTGCTAGGCTAGAGGGAAATGCAGAGAAGGCTGGGTTTGGTCTTGCACCAGGTTCTGTGGGAGACGGGTTGAGGTAGGAGGATAGGCCAGG</v>
      </c>
      <c r="L7" t="str">
        <f t="shared" si="2"/>
        <v>CGGTG</v>
      </c>
      <c r="M7" t="str">
        <f t="shared" si="3"/>
        <v>TCACC</v>
      </c>
      <c r="N7">
        <f t="shared" si="4"/>
        <v>154</v>
      </c>
      <c r="O7">
        <f t="shared" si="5"/>
        <v>2</v>
      </c>
      <c r="P7" t="str">
        <f t="shared" si="6"/>
        <v>AGAGACAGGAGCCTTCGGTGTATCACCGCGGAAATACTGAGA</v>
      </c>
    </row>
    <row r="8" spans="1:16" x14ac:dyDescent="0.25">
      <c r="A8">
        <v>2048733</v>
      </c>
      <c r="B8" t="s">
        <v>10</v>
      </c>
      <c r="C8" t="s">
        <v>54</v>
      </c>
      <c r="E8">
        <f t="shared" si="0"/>
        <v>11</v>
      </c>
      <c r="F8" t="str">
        <f t="shared" ref="F8:F17" si="7">(A8&amp;"_"&amp;C8)</f>
        <v>2048733_chr16:2048753-2048754:G&gt;A</v>
      </c>
      <c r="G8" t="s">
        <v>983</v>
      </c>
      <c r="H8" t="s">
        <v>539</v>
      </c>
      <c r="I8" t="s">
        <v>978</v>
      </c>
      <c r="J8" t="s">
        <v>979</v>
      </c>
      <c r="K8" t="str">
        <f t="shared" si="1"/>
        <v>AGAGACAGGAGCCTTCGGTGAGTCACCGCGGAAATACTGAGAATGAGTGAGCTACCTGTGTCTTTGCTAGGCTAGAGGGAAATGCAGAGAAGGCTGGGTTTGGTCTTGCACCAGGTTCTGTGGGAGACGGGTTGAGGTAGGAGGATAGGCCAGG</v>
      </c>
      <c r="L8" t="str">
        <f t="shared" si="2"/>
        <v>CGGTG</v>
      </c>
      <c r="M8" t="str">
        <f t="shared" si="3"/>
        <v>TCACC</v>
      </c>
      <c r="N8">
        <f t="shared" si="4"/>
        <v>154</v>
      </c>
      <c r="O8">
        <f t="shared" si="5"/>
        <v>2</v>
      </c>
      <c r="P8" t="str">
        <f t="shared" si="6"/>
        <v>AGAGACAGGAGCCTTCGGTGAGTCACCGCGGAAATACTGAGA</v>
      </c>
    </row>
    <row r="9" spans="1:16" x14ac:dyDescent="0.25">
      <c r="A9">
        <v>2048733</v>
      </c>
      <c r="B9" t="s">
        <v>10</v>
      </c>
      <c r="C9" t="s">
        <v>55</v>
      </c>
      <c r="E9">
        <f t="shared" si="0"/>
        <v>11</v>
      </c>
      <c r="F9" t="str">
        <f t="shared" si="7"/>
        <v>2048733_chr16:2048753-2048754:G&gt;C</v>
      </c>
      <c r="G9" t="s">
        <v>984</v>
      </c>
      <c r="H9" t="s">
        <v>540</v>
      </c>
      <c r="I9" t="s">
        <v>978</v>
      </c>
      <c r="J9" t="s">
        <v>979</v>
      </c>
      <c r="K9" t="str">
        <f t="shared" si="1"/>
        <v>AGAGACAGGAGCCTTCGGTGCATCACCGCGGAAATACTGAGACTGAGTGAGCTACCTGTGTCTTTGCTAGGCTAGAGGGAAATGCAGAGAAGGCTGGGTTTGGTCTTGCACCAGGTTCTGTGGGAGACGGGTTGAGGTAGGAGGATAGGCCAGG</v>
      </c>
      <c r="L9" t="str">
        <f t="shared" si="2"/>
        <v>CGGTG</v>
      </c>
      <c r="M9" t="str">
        <f t="shared" si="3"/>
        <v>TCACC</v>
      </c>
      <c r="N9">
        <f t="shared" si="4"/>
        <v>154</v>
      </c>
      <c r="O9">
        <f t="shared" si="5"/>
        <v>2</v>
      </c>
      <c r="P9" t="str">
        <f t="shared" si="6"/>
        <v>AGAGACAGGAGCCTTCGGTGCATCACCGCGGAAATACTGAGA</v>
      </c>
    </row>
    <row r="10" spans="1:16" x14ac:dyDescent="0.25">
      <c r="A10">
        <v>2048733</v>
      </c>
      <c r="B10" t="s">
        <v>10</v>
      </c>
      <c r="C10" t="s">
        <v>56</v>
      </c>
      <c r="E10">
        <f t="shared" si="0"/>
        <v>11</v>
      </c>
      <c r="F10" t="str">
        <f t="shared" si="7"/>
        <v>2048733_chr16:2048754-2048755:T&gt;C</v>
      </c>
      <c r="G10" t="s">
        <v>985</v>
      </c>
      <c r="H10" t="s">
        <v>541</v>
      </c>
      <c r="I10" t="s">
        <v>978</v>
      </c>
      <c r="J10" t="s">
        <v>979</v>
      </c>
      <c r="K10" t="str">
        <f t="shared" si="1"/>
        <v>AGAGACAGGAGCCTTCGGTGATTCACCGCGGAAATACTGAGAGCGAGTGAGCTACCTGTGTCTTTGCTAGGCTAGAGGGAAATGCAGAGAAGGCTGGGTTTGGTCTTGCACCAGGTTCTGTGGGAGACGGGTTGAGGTAGGAGGATAGGCCAGG</v>
      </c>
      <c r="L10" t="str">
        <f t="shared" si="2"/>
        <v>CGGTG</v>
      </c>
      <c r="M10" t="str">
        <f t="shared" si="3"/>
        <v>TCACC</v>
      </c>
      <c r="N10">
        <f t="shared" si="4"/>
        <v>154</v>
      </c>
      <c r="O10">
        <f t="shared" si="5"/>
        <v>2</v>
      </c>
      <c r="P10" t="str">
        <f t="shared" si="6"/>
        <v>AGAGACAGGAGCCTTCGGTGATTCACCGCGGAAATACTGAGA</v>
      </c>
    </row>
    <row r="11" spans="1:16" x14ac:dyDescent="0.25">
      <c r="A11">
        <v>2048733</v>
      </c>
      <c r="B11" t="s">
        <v>10</v>
      </c>
      <c r="C11" t="s">
        <v>57</v>
      </c>
      <c r="E11">
        <f t="shared" si="0"/>
        <v>11</v>
      </c>
      <c r="F11" t="str">
        <f t="shared" si="7"/>
        <v>2048733_chr16:2048754-2048756:TG&gt;-</v>
      </c>
      <c r="G11" t="s">
        <v>1009</v>
      </c>
      <c r="H11" t="s">
        <v>542</v>
      </c>
      <c r="I11" t="s">
        <v>978</v>
      </c>
      <c r="J11" t="s">
        <v>979</v>
      </c>
      <c r="K11" t="str">
        <f t="shared" si="1"/>
        <v>AGAGACAGGAGCCTTCGGTGTGTCACCGCGGAAATACTGAGAGAGTGAGCTACCTGTGTCTTTGCTAGGCTAGAGGGAAATGCAGAGAAGGCTGGGTTTGGTCTTGCACCAGGTTCTGTGGGAGACGGGTTGAGGTAGGAGGATAGGCCAGG</v>
      </c>
      <c r="L11" t="str">
        <f t="shared" si="2"/>
        <v>CGGTG</v>
      </c>
      <c r="M11" t="str">
        <f t="shared" si="3"/>
        <v>TCACC</v>
      </c>
      <c r="N11">
        <f t="shared" si="4"/>
        <v>152</v>
      </c>
      <c r="O11">
        <f t="shared" si="5"/>
        <v>2</v>
      </c>
      <c r="P11" t="str">
        <f t="shared" si="6"/>
        <v>AGAGACAGGAGCCTTCGGTGTGTCACCGCGGAAATACTGAGA</v>
      </c>
    </row>
    <row r="12" spans="1:16" x14ac:dyDescent="0.25">
      <c r="A12">
        <v>2048733</v>
      </c>
      <c r="B12" t="s">
        <v>10</v>
      </c>
      <c r="C12" t="s">
        <v>58</v>
      </c>
      <c r="E12">
        <f t="shared" si="0"/>
        <v>11</v>
      </c>
      <c r="F12" t="str">
        <f t="shared" si="7"/>
        <v>2048733_chr16:2048757-2048758:G&gt;A</v>
      </c>
      <c r="G12" s="4" t="s">
        <v>1049</v>
      </c>
      <c r="H12" t="s">
        <v>543</v>
      </c>
      <c r="I12" t="s">
        <v>978</v>
      </c>
      <c r="J12" t="s">
        <v>979</v>
      </c>
      <c r="K12" t="str">
        <f t="shared" si="1"/>
        <v>AGAGACAGGAGCCTTCGGTGTCTCACCGCGGAAATACTGAGAGTGAATGAGCTACCTGTGTCTTTGCTAGGCTAGAGGGAAATGCAGAGAAGGCTGGGTTTGGTCTTGCACCAGGTTCTGTGGGAGACGGGTTGAGGTAGGAGGATAGGCCAGG</v>
      </c>
      <c r="L12" t="str">
        <f t="shared" si="2"/>
        <v>CGGTG</v>
      </c>
      <c r="M12" t="str">
        <f t="shared" si="3"/>
        <v>TCACC</v>
      </c>
      <c r="N12">
        <f t="shared" si="4"/>
        <v>154</v>
      </c>
      <c r="O12">
        <f t="shared" si="5"/>
        <v>2</v>
      </c>
      <c r="P12" t="str">
        <f t="shared" si="6"/>
        <v>AGAGACAGGAGCCTTCGGTGTCTCACCGCGGAAATACTGAGA</v>
      </c>
    </row>
    <row r="13" spans="1:16" x14ac:dyDescent="0.25">
      <c r="A13">
        <v>2048733</v>
      </c>
      <c r="B13" t="s">
        <v>10</v>
      </c>
      <c r="C13" t="s">
        <v>59</v>
      </c>
      <c r="E13">
        <f t="shared" si="0"/>
        <v>11</v>
      </c>
      <c r="F13" t="str">
        <f t="shared" si="7"/>
        <v>2048733_chr16:2048762-2048763:C&gt;G</v>
      </c>
      <c r="G13" t="s">
        <v>987</v>
      </c>
      <c r="H13" t="s">
        <v>544</v>
      </c>
      <c r="I13" t="s">
        <v>978</v>
      </c>
      <c r="J13" t="s">
        <v>979</v>
      </c>
      <c r="K13" t="str">
        <f t="shared" si="1"/>
        <v>AGAGACAGGAGCCTTCGGTGGCTCACCGCGGAAATACTGAGAGTGAGTGAGGTACCTGTGTCTTTGCTAGGCTAGAGGGAAATGCAGAGAAGGCTGGGTTTGGTCTTGCACCAGGTTCTGTGGGAGACGGGTTGAGGTAGGAGGATAGGCCAGG</v>
      </c>
      <c r="L13" t="str">
        <f t="shared" si="2"/>
        <v>CGGTG</v>
      </c>
      <c r="M13" t="str">
        <f t="shared" si="3"/>
        <v>TCACC</v>
      </c>
      <c r="N13">
        <f t="shared" si="4"/>
        <v>154</v>
      </c>
      <c r="O13">
        <f t="shared" si="5"/>
        <v>2</v>
      </c>
      <c r="P13" t="str">
        <f t="shared" si="6"/>
        <v>AGAGACAGGAGCCTTCGGTGGCTCACCGCGGAAATACTGAGA</v>
      </c>
    </row>
    <row r="14" spans="1:16" x14ac:dyDescent="0.25">
      <c r="A14">
        <v>2048733</v>
      </c>
      <c r="B14" t="s">
        <v>10</v>
      </c>
      <c r="C14" t="s">
        <v>60</v>
      </c>
      <c r="E14">
        <f t="shared" si="0"/>
        <v>11</v>
      </c>
      <c r="F14" t="str">
        <f t="shared" si="7"/>
        <v>2048733_chr16:2048766-2048767:C&gt;G</v>
      </c>
      <c r="G14" t="s">
        <v>988</v>
      </c>
      <c r="H14" t="s">
        <v>545</v>
      </c>
      <c r="I14" t="s">
        <v>980</v>
      </c>
      <c r="J14" t="s">
        <v>979</v>
      </c>
      <c r="K14" t="str">
        <f t="shared" si="1"/>
        <v>AGAGACAGGAGCCTTCGGTGACTCACCGCGGAAATACTGAGAGTGAGTGAGCTACGTGTGTCTTTGCTAGGCTAGAGGGAAATGCAGAGAAGGCTGGGTTTGGTCTTGCACCAGGTTCTGTGGGAGACGGGTTGAGGTAGGAGGATAGGCCAGG</v>
      </c>
      <c r="L14" t="str">
        <f t="shared" si="2"/>
        <v>CGGTG</v>
      </c>
      <c r="M14" t="str">
        <f t="shared" si="3"/>
        <v>TCACC</v>
      </c>
      <c r="N14">
        <f t="shared" si="4"/>
        <v>154</v>
      </c>
      <c r="O14">
        <f t="shared" si="5"/>
        <v>2</v>
      </c>
      <c r="P14" t="str">
        <f t="shared" si="6"/>
        <v>AGAGACAGGAGCCTTCGGTGACTCACCGCGGAAATACTGAGA</v>
      </c>
    </row>
    <row r="15" spans="1:16" x14ac:dyDescent="0.25">
      <c r="A15">
        <v>2048733</v>
      </c>
      <c r="B15" t="s">
        <v>10</v>
      </c>
      <c r="C15" t="s">
        <v>61</v>
      </c>
      <c r="E15">
        <f t="shared" si="0"/>
        <v>11</v>
      </c>
      <c r="F15" t="str">
        <f t="shared" si="7"/>
        <v>2048733_chr16:2048768-2048769:G&gt;A</v>
      </c>
      <c r="G15" t="s">
        <v>989</v>
      </c>
      <c r="H15" t="s">
        <v>546</v>
      </c>
      <c r="I15" t="s">
        <v>978</v>
      </c>
      <c r="J15" t="s">
        <v>979</v>
      </c>
      <c r="K15" t="str">
        <f t="shared" si="1"/>
        <v>AGAGACAGGAGCCTTCGGTGCGTCACCGCGGAAATACTGAGAGTGAGTGAGCTACCTATGTCTTTGCTAGGCTAGAGGGAAATGCAGAGAAGGCTGGGTTTGGTCTTGCACCAGGTTCTGTGGGAGACGGGTTGAGGTAGGAGGATAGGCCAGG</v>
      </c>
      <c r="L15" t="str">
        <f t="shared" si="2"/>
        <v>CGGTG</v>
      </c>
      <c r="M15" t="str">
        <f t="shared" si="3"/>
        <v>TCACC</v>
      </c>
      <c r="N15">
        <f t="shared" si="4"/>
        <v>154</v>
      </c>
      <c r="O15">
        <f t="shared" si="5"/>
        <v>2</v>
      </c>
      <c r="P15" t="str">
        <f t="shared" si="6"/>
        <v>AGAGACAGGAGCCTTCGGTGCGTCACCGCGGAAATACTGAGA</v>
      </c>
    </row>
    <row r="16" spans="1:16" x14ac:dyDescent="0.25">
      <c r="A16">
        <v>2048733</v>
      </c>
      <c r="B16" t="s">
        <v>10</v>
      </c>
      <c r="C16" t="s">
        <v>62</v>
      </c>
      <c r="E16">
        <f t="shared" si="0"/>
        <v>11</v>
      </c>
      <c r="F16" t="str">
        <f t="shared" si="7"/>
        <v>2048733_chr16:2048772-2048773:C&gt;G</v>
      </c>
      <c r="G16" t="s">
        <v>990</v>
      </c>
      <c r="H16" t="s">
        <v>547</v>
      </c>
      <c r="I16" t="s">
        <v>978</v>
      </c>
      <c r="J16" t="s">
        <v>981</v>
      </c>
      <c r="K16" t="str">
        <f t="shared" si="1"/>
        <v>AGAGACAGGAGCCTTCGGTGGTTCACCGCGGAAATACTGAGAGTGAGTGAGCTACCTGTGTGTTTGCTAGGCTAGAGGGAAATGCAGAGAAGGCTGGGTTTGGTCTTGCACCAGGTTCTGTGGGAGACGGGTTGAGGTAGGAGGATAGGCCAGG</v>
      </c>
      <c r="L16" t="str">
        <f t="shared" si="2"/>
        <v>CGGTG</v>
      </c>
      <c r="M16" t="str">
        <f t="shared" si="3"/>
        <v>TCACC</v>
      </c>
      <c r="N16">
        <f t="shared" si="4"/>
        <v>154</v>
      </c>
      <c r="O16">
        <f t="shared" si="5"/>
        <v>2</v>
      </c>
      <c r="P16" t="str">
        <f t="shared" si="6"/>
        <v>AGAGACAGGAGCCTTCGGTGGTTCACCGCGGAAATACTGAGA</v>
      </c>
    </row>
    <row r="17" spans="1:16" x14ac:dyDescent="0.25">
      <c r="A17">
        <v>2048733</v>
      </c>
      <c r="B17" t="s">
        <v>10</v>
      </c>
      <c r="C17" t="s">
        <v>63</v>
      </c>
      <c r="E17">
        <f t="shared" si="0"/>
        <v>11</v>
      </c>
      <c r="F17" t="str">
        <f t="shared" si="7"/>
        <v>2048733_chr16:2048822-2048823:C&gt;T</v>
      </c>
      <c r="G17" t="s">
        <v>991</v>
      </c>
      <c r="H17" t="s">
        <v>548</v>
      </c>
      <c r="I17" t="s">
        <v>978</v>
      </c>
      <c r="J17" t="s">
        <v>979</v>
      </c>
      <c r="K17" t="str">
        <f t="shared" si="1"/>
        <v>AGAGACAGGAGCCTTCGGTGGATCACCGCGGAAATACTGAGAGTGAGTGAGCTACCTGTGTCTTTGCTAGGCTAGAGGGAAATGCAGAGAAGGCTGGGTTTGGTCTTGCACTAGGTTCTGTGGGAGACGGGTTGAGGTAGGAGGATAGGCCAGG</v>
      </c>
      <c r="L17" t="str">
        <f t="shared" si="2"/>
        <v>CGGTG</v>
      </c>
      <c r="M17" t="str">
        <f t="shared" si="3"/>
        <v>TCACC</v>
      </c>
      <c r="N17">
        <f t="shared" si="4"/>
        <v>154</v>
      </c>
      <c r="O17">
        <f t="shared" si="5"/>
        <v>2</v>
      </c>
      <c r="P17" t="str">
        <f t="shared" si="6"/>
        <v>AGAGACAGGAGCCTTCGGTGGATCACCGCGGAAATACTGAGA</v>
      </c>
    </row>
    <row r="18" spans="1:16" x14ac:dyDescent="0.25">
      <c r="A18">
        <v>2050466</v>
      </c>
      <c r="B18" t="s">
        <v>11</v>
      </c>
      <c r="C18" t="s">
        <v>64</v>
      </c>
      <c r="D18" t="s">
        <v>534</v>
      </c>
      <c r="E18">
        <f t="shared" si="0"/>
        <v>11</v>
      </c>
      <c r="F18" t="str">
        <f>(A18&amp;"_"&amp;D18)</f>
        <v>2050466_wt</v>
      </c>
      <c r="G18" s="4" t="s">
        <v>1079</v>
      </c>
      <c r="H18" t="s">
        <v>495</v>
      </c>
      <c r="I18" t="s">
        <v>978</v>
      </c>
      <c r="J18" t="s">
        <v>979</v>
      </c>
      <c r="K18" t="str">
        <f t="shared" si="1"/>
        <v>AGAGACAGGAGCCTTCGGTGCCAAACCAAGAAATTTGAAGAGGTAGGTTTATCCAGTTGAGCTACTAGAGAGAGGCACGTAGACTATTCAGAGCCTGAGTTTGCTTTTTTTAGGAACATGGTTGACAGCTGACTAGGTAGGAGGATAGGCCAGG</v>
      </c>
      <c r="L18" t="str">
        <f t="shared" si="2"/>
        <v>CGGTG</v>
      </c>
      <c r="M18" t="str">
        <f t="shared" si="3"/>
        <v>AAACC</v>
      </c>
      <c r="N18">
        <f t="shared" si="4"/>
        <v>154</v>
      </c>
      <c r="O18">
        <f t="shared" si="5"/>
        <v>2</v>
      </c>
      <c r="P18" t="str">
        <f t="shared" si="6"/>
        <v>AGAGACAGGAGCCTTCGGTGCCAAACCAAGAAATTTGAAGAG</v>
      </c>
    </row>
    <row r="19" spans="1:16" x14ac:dyDescent="0.25">
      <c r="A19">
        <v>2050466</v>
      </c>
      <c r="B19" t="s">
        <v>11</v>
      </c>
      <c r="C19" t="s">
        <v>64</v>
      </c>
      <c r="E19">
        <f t="shared" si="0"/>
        <v>11</v>
      </c>
      <c r="F19" t="str">
        <f t="shared" ref="F19:F28" si="8">(A19&amp;"_"&amp;C19)</f>
        <v>2050466_chr16:2050486-2050487:G&gt;A</v>
      </c>
      <c r="G19" t="s">
        <v>984</v>
      </c>
      <c r="H19" t="s">
        <v>549</v>
      </c>
      <c r="I19" t="s">
        <v>978</v>
      </c>
      <c r="J19" t="s">
        <v>979</v>
      </c>
      <c r="K19" t="str">
        <f t="shared" si="1"/>
        <v>AGAGACAGGAGCCTTCGGTGCAAAACCAAGAAATTTGAAGAGATAGGTTTATCCAGTTGAGCTACTAGAGAGAGGCACGTAGACTATTCAGAGCCTGAGTTTGCTTTTTTTAGGAACATGGTTGACAGCTGACTAGGTAGGAGGATAGGCCAGG</v>
      </c>
      <c r="L19" t="str">
        <f t="shared" si="2"/>
        <v>CGGTG</v>
      </c>
      <c r="M19" t="str">
        <f t="shared" si="3"/>
        <v>AAACC</v>
      </c>
      <c r="N19">
        <f t="shared" si="4"/>
        <v>154</v>
      </c>
      <c r="O19">
        <f t="shared" si="5"/>
        <v>2</v>
      </c>
      <c r="P19" t="str">
        <f t="shared" si="6"/>
        <v>AGAGACAGGAGCCTTCGGTGCAAAACCAAGAAATTTGAAGAG</v>
      </c>
    </row>
    <row r="20" spans="1:16" x14ac:dyDescent="0.25">
      <c r="A20">
        <v>2050466</v>
      </c>
      <c r="B20" t="s">
        <v>11</v>
      </c>
      <c r="C20" t="s">
        <v>65</v>
      </c>
      <c r="E20">
        <f t="shared" si="0"/>
        <v>11</v>
      </c>
      <c r="F20" t="str">
        <f t="shared" si="8"/>
        <v>2050466_chr16:2050486-2050487:G&gt;T</v>
      </c>
      <c r="G20" t="s">
        <v>985</v>
      </c>
      <c r="H20" t="s">
        <v>550</v>
      </c>
      <c r="I20" t="s">
        <v>978</v>
      </c>
      <c r="J20" t="s">
        <v>979</v>
      </c>
      <c r="K20" t="str">
        <f t="shared" si="1"/>
        <v>AGAGACAGGAGCCTTCGGTGATAAACCAAGAAATTTGAAGAGTTAGGTTTATCCAGTTGAGCTACTAGAGAGAGGCACGTAGACTATTCAGAGCCTGAGTTTGCTTTTTTTAGGAACATGGTTGACAGCTGACTAGGTAGGAGGATAGGCCAGG</v>
      </c>
      <c r="L20" t="str">
        <f t="shared" si="2"/>
        <v>CGGTG</v>
      </c>
      <c r="M20" t="str">
        <f t="shared" si="3"/>
        <v>AAACC</v>
      </c>
      <c r="N20">
        <f t="shared" si="4"/>
        <v>154</v>
      </c>
      <c r="O20">
        <f t="shared" si="5"/>
        <v>2</v>
      </c>
      <c r="P20" t="str">
        <f t="shared" si="6"/>
        <v>AGAGACAGGAGCCTTCGGTGATAAACCAAGAAATTTGAAGAG</v>
      </c>
    </row>
    <row r="21" spans="1:16" x14ac:dyDescent="0.25">
      <c r="A21">
        <v>2050466</v>
      </c>
      <c r="B21" t="s">
        <v>11</v>
      </c>
      <c r="C21" t="s">
        <v>66</v>
      </c>
      <c r="E21">
        <f t="shared" si="0"/>
        <v>11</v>
      </c>
      <c r="F21" t="str">
        <f t="shared" si="8"/>
        <v>2050466_chr16:2050487-2050488:T&gt;A</v>
      </c>
      <c r="G21" t="s">
        <v>1010</v>
      </c>
      <c r="H21" t="s">
        <v>551</v>
      </c>
      <c r="I21" t="s">
        <v>978</v>
      </c>
      <c r="J21" t="s">
        <v>979</v>
      </c>
      <c r="K21" t="str">
        <f t="shared" si="1"/>
        <v>AGAGACAGGAGCCTTCGGTGTGAAACCAAGAAATTTGAAGAGGAAGGTTTATCCAGTTGAGCTACTAGAGAGAGGCACGTAGACTATTCAGAGCCTGAGTTTGCTTTTTTTAGGAACATGGTTGACAGCTGACTAGGTAGGAGGATAGGCCAGG</v>
      </c>
      <c r="L21" t="str">
        <f t="shared" si="2"/>
        <v>CGGTG</v>
      </c>
      <c r="M21" t="str">
        <f t="shared" si="3"/>
        <v>AAACC</v>
      </c>
      <c r="N21">
        <f t="shared" si="4"/>
        <v>154</v>
      </c>
      <c r="O21">
        <f t="shared" si="5"/>
        <v>2</v>
      </c>
      <c r="P21" t="str">
        <f t="shared" si="6"/>
        <v>AGAGACAGGAGCCTTCGGTGTGAAACCAAGAAATTTGAAGAG</v>
      </c>
    </row>
    <row r="22" spans="1:16" x14ac:dyDescent="0.25">
      <c r="A22">
        <v>2050466</v>
      </c>
      <c r="B22" t="s">
        <v>11</v>
      </c>
      <c r="C22" t="s">
        <v>67</v>
      </c>
      <c r="E22">
        <f t="shared" si="0"/>
        <v>11</v>
      </c>
      <c r="F22" t="str">
        <f t="shared" si="8"/>
        <v>2050466_chr16:2050488-2050489:A&gt;G</v>
      </c>
      <c r="G22" s="4" t="s">
        <v>1050</v>
      </c>
      <c r="H22" t="s">
        <v>552</v>
      </c>
      <c r="I22" t="s">
        <v>978</v>
      </c>
      <c r="J22" t="s">
        <v>979</v>
      </c>
      <c r="K22" t="str">
        <f t="shared" si="1"/>
        <v>AGAGACAGGAGCCTTCGGTGTAAAACCAAGAAATTTGAAGAGGTGGGTTTATCCAGTTGAGCTACTAGAGAGAGGCACGTAGACTATTCAGAGCCTGAGTTTGCTTTTTTTAGGAACATGGTTGACAGCTGACTAGGTAGGAGGATAGGCCAGG</v>
      </c>
      <c r="L22" t="str">
        <f t="shared" si="2"/>
        <v>CGGTG</v>
      </c>
      <c r="M22" t="str">
        <f t="shared" si="3"/>
        <v>AAACC</v>
      </c>
      <c r="N22">
        <f t="shared" si="4"/>
        <v>154</v>
      </c>
      <c r="O22">
        <f t="shared" si="5"/>
        <v>2</v>
      </c>
      <c r="P22" t="str">
        <f t="shared" si="6"/>
        <v>AGAGACAGGAGCCTTCGGTGTAAAACCAAGAAATTTGAAGAG</v>
      </c>
    </row>
    <row r="23" spans="1:16" x14ac:dyDescent="0.25">
      <c r="A23">
        <v>2050466</v>
      </c>
      <c r="B23" t="s">
        <v>11</v>
      </c>
      <c r="C23" t="s">
        <v>68</v>
      </c>
      <c r="E23">
        <f t="shared" si="0"/>
        <v>11</v>
      </c>
      <c r="F23" t="str">
        <f t="shared" si="8"/>
        <v>2050466_chr16:2050489-2050490:G&gt;A</v>
      </c>
      <c r="G23" t="s">
        <v>987</v>
      </c>
      <c r="H23" t="s">
        <v>553</v>
      </c>
      <c r="I23" t="s">
        <v>978</v>
      </c>
      <c r="J23" t="s">
        <v>979</v>
      </c>
      <c r="K23" t="str">
        <f t="shared" si="1"/>
        <v>AGAGACAGGAGCCTTCGGTGGCAAACCAAGAAATTTGAAGAGGTAAGTTTATCCAGTTGAGCTACTAGAGAGAGGCACGTAGACTATTCAGAGCCTGAGTTTGCTTTTTTTAGGAACATGGTTGACAGCTGACTAGGTAGGAGGATAGGCCAGG</v>
      </c>
      <c r="L23" t="str">
        <f t="shared" si="2"/>
        <v>CGGTG</v>
      </c>
      <c r="M23" t="str">
        <f t="shared" si="3"/>
        <v>AAACC</v>
      </c>
      <c r="N23">
        <f t="shared" si="4"/>
        <v>154</v>
      </c>
      <c r="O23">
        <f t="shared" si="5"/>
        <v>2</v>
      </c>
      <c r="P23" t="str">
        <f t="shared" si="6"/>
        <v>AGAGACAGGAGCCTTCGGTGGCAAACCAAGAAATTTGAAGAG</v>
      </c>
    </row>
    <row r="24" spans="1:16" x14ac:dyDescent="0.25">
      <c r="A24">
        <v>2050466</v>
      </c>
      <c r="B24" t="s">
        <v>11</v>
      </c>
      <c r="C24" t="s">
        <v>69</v>
      </c>
      <c r="E24">
        <f t="shared" si="0"/>
        <v>11</v>
      </c>
      <c r="F24" t="str">
        <f t="shared" si="8"/>
        <v>2050466_chr16:2050490-2050491:G&gt;T</v>
      </c>
      <c r="G24" t="s">
        <v>988</v>
      </c>
      <c r="H24" t="s">
        <v>554</v>
      </c>
      <c r="I24" t="s">
        <v>978</v>
      </c>
      <c r="J24" t="s">
        <v>979</v>
      </c>
      <c r="K24" t="str">
        <f t="shared" si="1"/>
        <v>AGAGACAGGAGCCTTCGGTGACAAACCAAGAAATTTGAAGAGGTAGTTTTATCCAGTTGAGCTACTAGAGAGAGGCACGTAGACTATTCAGAGCCTGAGTTTGCTTTTTTTAGGAACATGGTTGACAGCTGACTAGGTAGGAGGATAGGCCAGG</v>
      </c>
      <c r="L24" t="str">
        <f t="shared" si="2"/>
        <v>CGGTG</v>
      </c>
      <c r="M24" t="str">
        <f t="shared" si="3"/>
        <v>AAACC</v>
      </c>
      <c r="N24">
        <f t="shared" si="4"/>
        <v>154</v>
      </c>
      <c r="O24">
        <f t="shared" si="5"/>
        <v>2</v>
      </c>
      <c r="P24" t="str">
        <f t="shared" si="6"/>
        <v>AGAGACAGGAGCCTTCGGTGACAAACCAAGAAATTTGAAGAG</v>
      </c>
    </row>
    <row r="25" spans="1:16" x14ac:dyDescent="0.25">
      <c r="A25">
        <v>2050466</v>
      </c>
      <c r="B25" t="s">
        <v>11</v>
      </c>
      <c r="C25" t="s">
        <v>70</v>
      </c>
      <c r="E25">
        <f t="shared" si="0"/>
        <v>11</v>
      </c>
      <c r="F25" t="str">
        <f t="shared" si="8"/>
        <v>2050466_chr16:2050497-2050498:C&gt;A</v>
      </c>
      <c r="G25" t="s">
        <v>989</v>
      </c>
      <c r="H25" t="s">
        <v>555</v>
      </c>
      <c r="I25" t="s">
        <v>978</v>
      </c>
      <c r="J25" t="s">
        <v>981</v>
      </c>
      <c r="K25" t="str">
        <f t="shared" si="1"/>
        <v>AGAGACAGGAGCCTTCGGTGCGAAACCAAGAAATTTGAAGAGGTAGGTTTATCAAGTTGAGCTACTAGAGAGAGGCACGTAGACTATTCAGAGCCTGAGTTTGCTTTTTTTAGGAACATGGTTGACAGCTGACTAGGTAGGAGGATAGGCCAGG</v>
      </c>
      <c r="L25" t="str">
        <f t="shared" si="2"/>
        <v>CGGTG</v>
      </c>
      <c r="M25" t="str">
        <f t="shared" si="3"/>
        <v>AAACC</v>
      </c>
      <c r="N25">
        <f t="shared" si="4"/>
        <v>154</v>
      </c>
      <c r="O25">
        <f t="shared" si="5"/>
        <v>2</v>
      </c>
      <c r="P25" t="str">
        <f t="shared" si="6"/>
        <v>AGAGACAGGAGCCTTCGGTGCGAAACCAAGAAATTTGAAGAG</v>
      </c>
    </row>
    <row r="26" spans="1:16" x14ac:dyDescent="0.25">
      <c r="A26">
        <v>2050466</v>
      </c>
      <c r="B26" t="s">
        <v>11</v>
      </c>
      <c r="C26" t="s">
        <v>71</v>
      </c>
      <c r="E26">
        <f t="shared" si="0"/>
        <v>11</v>
      </c>
      <c r="F26" t="str">
        <f t="shared" si="8"/>
        <v>2050466_chr16:2050503-2050504:A&gt;G</v>
      </c>
      <c r="G26" t="s">
        <v>990</v>
      </c>
      <c r="H26" t="s">
        <v>556</v>
      </c>
      <c r="I26" t="s">
        <v>978</v>
      </c>
      <c r="J26" t="s">
        <v>979</v>
      </c>
      <c r="K26" t="str">
        <f t="shared" si="1"/>
        <v>AGAGACAGGAGCCTTCGGTGGTAAACCAAGAAATTTGAAGAGGTAGGTTTATCCAGTTGGGCTACTAGAGAGAGGCACGTAGACTATTCAGAGCCTGAGTTTGCTTTTTTTAGGAACATGGTTGACAGCTGACTAGGTAGGAGGATAGGCCAGG</v>
      </c>
      <c r="L26" t="str">
        <f t="shared" si="2"/>
        <v>CGGTG</v>
      </c>
      <c r="M26" t="str">
        <f t="shared" si="3"/>
        <v>AAACC</v>
      </c>
      <c r="N26">
        <f t="shared" si="4"/>
        <v>154</v>
      </c>
      <c r="O26">
        <f t="shared" si="5"/>
        <v>2</v>
      </c>
      <c r="P26" t="str">
        <f t="shared" si="6"/>
        <v>AGAGACAGGAGCCTTCGGTGGTAAACCAAGAAATTTGAAGAG</v>
      </c>
    </row>
    <row r="27" spans="1:16" x14ac:dyDescent="0.25">
      <c r="A27">
        <v>2050466</v>
      </c>
      <c r="B27" t="s">
        <v>11</v>
      </c>
      <c r="C27" t="s">
        <v>72</v>
      </c>
      <c r="E27">
        <f t="shared" si="0"/>
        <v>11</v>
      </c>
      <c r="F27" t="str">
        <f t="shared" si="8"/>
        <v>2050466_chr16:2050504-2050505:G&gt;A</v>
      </c>
      <c r="G27" t="s">
        <v>991</v>
      </c>
      <c r="H27" t="s">
        <v>557</v>
      </c>
      <c r="I27" t="s">
        <v>978</v>
      </c>
      <c r="J27" t="s">
        <v>979</v>
      </c>
      <c r="K27" t="str">
        <f t="shared" si="1"/>
        <v>AGAGACAGGAGCCTTCGGTGGAAAACCAAGAAATTTGAAGAGGTAGGTTTATCCAGTTGAACTACTAGAGAGAGGCACGTAGACTATTCAGAGCCTGAGTTTGCTTTTTTTAGGAACATGGTTGACAGCTGACTAGGTAGGAGGATAGGCCAGG</v>
      </c>
      <c r="L27" t="str">
        <f t="shared" si="2"/>
        <v>CGGTG</v>
      </c>
      <c r="M27" t="str">
        <f t="shared" si="3"/>
        <v>AAACC</v>
      </c>
      <c r="N27">
        <f t="shared" si="4"/>
        <v>154</v>
      </c>
      <c r="O27">
        <f t="shared" si="5"/>
        <v>2</v>
      </c>
      <c r="P27" t="str">
        <f t="shared" si="6"/>
        <v>AGAGACAGGAGCCTTCGGTGGAAAACCAAGAAATTTGAAGAG</v>
      </c>
    </row>
    <row r="28" spans="1:16" x14ac:dyDescent="0.25">
      <c r="A28">
        <v>2050466</v>
      </c>
      <c r="B28" t="s">
        <v>11</v>
      </c>
      <c r="C28" t="s">
        <v>73</v>
      </c>
      <c r="E28">
        <f t="shared" si="0"/>
        <v>11</v>
      </c>
      <c r="F28" t="str">
        <f t="shared" si="8"/>
        <v>2050466_chr16:2050516-2050518:AG&gt;-</v>
      </c>
      <c r="G28" t="s">
        <v>992</v>
      </c>
      <c r="H28" t="s">
        <v>558</v>
      </c>
      <c r="I28" t="s">
        <v>978</v>
      </c>
      <c r="J28" t="s">
        <v>979</v>
      </c>
      <c r="K28" t="str">
        <f t="shared" si="1"/>
        <v>AGAGACAGGAGCCTTCGGTGTCAAACCAAGAAATTTGAAGAGGTAGGTTTATCCAGTTGAGCTACTAGAGAGGCACGTAGACTATTCAGAGCCTGAGTTTGCTTTTTTTAGGAACATGGTTGACAGCTGACTAGGTAGGAGGATAGGCCAGG</v>
      </c>
      <c r="L28" t="str">
        <f t="shared" si="2"/>
        <v>CGGTG</v>
      </c>
      <c r="M28" t="str">
        <f t="shared" si="3"/>
        <v>AAACC</v>
      </c>
      <c r="N28">
        <f t="shared" si="4"/>
        <v>152</v>
      </c>
      <c r="O28">
        <f t="shared" si="5"/>
        <v>2</v>
      </c>
      <c r="P28" t="str">
        <f t="shared" si="6"/>
        <v>AGAGACAGGAGCCTTCGGTGTCAAACCAAGAAATTTGAAGAG</v>
      </c>
    </row>
    <row r="29" spans="1:16" x14ac:dyDescent="0.25">
      <c r="A29">
        <v>2053432</v>
      </c>
      <c r="B29" t="s">
        <v>12</v>
      </c>
      <c r="C29" t="s">
        <v>74</v>
      </c>
      <c r="D29" t="s">
        <v>534</v>
      </c>
      <c r="E29">
        <f t="shared" si="0"/>
        <v>14</v>
      </c>
      <c r="F29" t="str">
        <f>(A29&amp;"_"&amp;D29)</f>
        <v>2053432_wt</v>
      </c>
      <c r="G29" t="s">
        <v>982</v>
      </c>
      <c r="H29" t="s">
        <v>496</v>
      </c>
      <c r="I29" t="s">
        <v>978</v>
      </c>
      <c r="J29" t="s">
        <v>979</v>
      </c>
      <c r="K29" t="str">
        <f t="shared" si="1"/>
        <v>AGAGACAGGAGCCTTCGGTGTAAGGCCATCGTGCAGGGGCAGGTAAGGCCCAGGGCGACGCTGGGATGGGTGACGTCAGGCTGCCCACTGACTGTCCTGTCCCTGCTGGGCCGTGTTTGGACTCCTGCCTCGGTAGGTAGGAGGATAGGCCAGG</v>
      </c>
      <c r="L29" t="str">
        <f t="shared" si="2"/>
        <v>CGGTG</v>
      </c>
      <c r="M29" t="str">
        <f t="shared" si="3"/>
        <v>AGGCC</v>
      </c>
      <c r="N29">
        <f t="shared" si="4"/>
        <v>154</v>
      </c>
      <c r="O29">
        <f t="shared" si="5"/>
        <v>2</v>
      </c>
      <c r="P29" t="str">
        <f t="shared" si="6"/>
        <v>AGAGACAGGAGCCTTCGGTGTAAGGCCATCGTGCAGGGGCAG</v>
      </c>
    </row>
    <row r="30" spans="1:16" x14ac:dyDescent="0.25">
      <c r="A30">
        <v>2053432</v>
      </c>
      <c r="B30" t="s">
        <v>12</v>
      </c>
      <c r="C30" t="s">
        <v>74</v>
      </c>
      <c r="E30">
        <f t="shared" si="0"/>
        <v>14</v>
      </c>
      <c r="F30" t="str">
        <f t="shared" ref="F30:F42" si="9">(A30&amp;"_"&amp;C30)</f>
        <v>2053432_chr16:2053452-2053453:G&gt;-</v>
      </c>
      <c r="G30" t="s">
        <v>983</v>
      </c>
      <c r="H30" t="s">
        <v>559</v>
      </c>
      <c r="I30" t="s">
        <v>978</v>
      </c>
      <c r="J30" t="s">
        <v>979</v>
      </c>
      <c r="K30" t="str">
        <f t="shared" si="1"/>
        <v>AGAGACAGGAGCCTTCGGTGAGAGGCCATCGTGCAGGGGCAGTAAGGCCCAGGGCGACGCTGGGATGGGTGACGTCAGGCTGCCCACTGACTGTCCTGTCCCTGCTGGGCCGTGTTTGGACTCCTGCCTCGGTAGGTAGGAGGATAGGCCAGG</v>
      </c>
      <c r="L30" t="str">
        <f t="shared" si="2"/>
        <v>CGGTG</v>
      </c>
      <c r="M30" t="str">
        <f t="shared" si="3"/>
        <v>AGGCC</v>
      </c>
      <c r="N30">
        <f t="shared" si="4"/>
        <v>153</v>
      </c>
      <c r="O30">
        <f t="shared" si="5"/>
        <v>2</v>
      </c>
      <c r="P30" t="str">
        <f t="shared" si="6"/>
        <v>AGAGACAGGAGCCTTCGGTGAGAGGCCATCGTGCAGGGGCAG</v>
      </c>
    </row>
    <row r="31" spans="1:16" x14ac:dyDescent="0.25">
      <c r="A31">
        <v>2053432</v>
      </c>
      <c r="B31" t="s">
        <v>12</v>
      </c>
      <c r="C31" t="s">
        <v>75</v>
      </c>
      <c r="E31">
        <f t="shared" si="0"/>
        <v>14</v>
      </c>
      <c r="F31" t="str">
        <f t="shared" si="9"/>
        <v>2053432_chr16:2053452-2053453:G&gt;A</v>
      </c>
      <c r="G31" t="s">
        <v>984</v>
      </c>
      <c r="H31" t="s">
        <v>560</v>
      </c>
      <c r="I31" t="s">
        <v>978</v>
      </c>
      <c r="J31" t="s">
        <v>979</v>
      </c>
      <c r="K31" t="str">
        <f t="shared" si="1"/>
        <v>AGAGACAGGAGCCTTCGGTGCAAGGCCATCGTGCAGGGGCAGATAAGGCCCAGGGCGACGCTGGGATGGGTGACGTCAGGCTGCCCACTGACTGTCCTGTCCCTGCTGGGCCGTGTTTGGACTCCTGCCTCGGTAGGTAGGAGGATAGGCCAGG</v>
      </c>
      <c r="L31" t="str">
        <f t="shared" si="2"/>
        <v>CGGTG</v>
      </c>
      <c r="M31" t="str">
        <f t="shared" si="3"/>
        <v>AGGCC</v>
      </c>
      <c r="N31">
        <f t="shared" si="4"/>
        <v>154</v>
      </c>
      <c r="O31">
        <f t="shared" si="5"/>
        <v>2</v>
      </c>
      <c r="P31" t="str">
        <f t="shared" si="6"/>
        <v>AGAGACAGGAGCCTTCGGTGCAAGGCCATCGTGCAGGGGCAG</v>
      </c>
    </row>
    <row r="32" spans="1:16" x14ac:dyDescent="0.25">
      <c r="A32">
        <v>2053432</v>
      </c>
      <c r="B32" t="s">
        <v>12</v>
      </c>
      <c r="C32" t="s">
        <v>76</v>
      </c>
      <c r="E32">
        <f t="shared" si="0"/>
        <v>14</v>
      </c>
      <c r="F32" t="str">
        <f t="shared" si="9"/>
        <v>2053432_chr16:2053452-2053453:G&gt;C</v>
      </c>
      <c r="G32" t="s">
        <v>985</v>
      </c>
      <c r="H32" t="s">
        <v>561</v>
      </c>
      <c r="I32" t="s">
        <v>978</v>
      </c>
      <c r="J32" t="s">
        <v>979</v>
      </c>
      <c r="K32" t="str">
        <f t="shared" si="1"/>
        <v>AGAGACAGGAGCCTTCGGTGATAGGCCATCGTGCAGGGGCAGCTAAGGCCCAGGGCGACGCTGGGATGGGTGACGTCAGGCTGCCCACTGACTGTCCTGTCCCTGCTGGGCCGTGTTTGGACTCCTGCCTCGGTAGGTAGGAGGATAGGCCAGG</v>
      </c>
      <c r="L32" t="str">
        <f t="shared" si="2"/>
        <v>CGGTG</v>
      </c>
      <c r="M32" t="str">
        <f t="shared" si="3"/>
        <v>AGGCC</v>
      </c>
      <c r="N32">
        <f t="shared" si="4"/>
        <v>154</v>
      </c>
      <c r="O32">
        <f t="shared" si="5"/>
        <v>2</v>
      </c>
      <c r="P32" t="str">
        <f t="shared" si="6"/>
        <v>AGAGACAGGAGCCTTCGGTGATAGGCCATCGTGCAGGGGCAG</v>
      </c>
    </row>
    <row r="33" spans="1:16" x14ac:dyDescent="0.25">
      <c r="A33">
        <v>2053432</v>
      </c>
      <c r="B33" t="s">
        <v>12</v>
      </c>
      <c r="C33" t="s">
        <v>77</v>
      </c>
      <c r="E33">
        <f t="shared" si="0"/>
        <v>14</v>
      </c>
      <c r="F33" t="str">
        <f t="shared" si="9"/>
        <v>2053432_chr16:2053453-2053454:T&gt;G</v>
      </c>
      <c r="G33" t="s">
        <v>1011</v>
      </c>
      <c r="H33" t="s">
        <v>562</v>
      </c>
      <c r="I33" t="s">
        <v>978</v>
      </c>
      <c r="J33" t="s">
        <v>979</v>
      </c>
      <c r="K33" t="str">
        <f t="shared" si="1"/>
        <v>AGAGACAGGAGCCTTCGGTGTGAGGCCATCGTGCAGGGGCAGGGAAGGCCCAGGGCGACGCTGGGATGGGTGACGTCAGGCTGCCCACTGACTGTCCTGTCCCTGCTGGGCCGTGTTTGGACTCCTGCCTCGGTAGGTAGGAGGATAGGCCAGG</v>
      </c>
      <c r="L33" t="str">
        <f t="shared" si="2"/>
        <v>CGGTG</v>
      </c>
      <c r="M33" t="str">
        <f t="shared" si="3"/>
        <v>AGGCC</v>
      </c>
      <c r="N33">
        <f t="shared" si="4"/>
        <v>154</v>
      </c>
      <c r="O33">
        <f t="shared" si="5"/>
        <v>2</v>
      </c>
      <c r="P33" t="str">
        <f t="shared" si="6"/>
        <v>AGAGACAGGAGCCTTCGGTGTGAGGCCATCGTGCAGGGGCAG</v>
      </c>
    </row>
    <row r="34" spans="1:16" x14ac:dyDescent="0.25">
      <c r="A34">
        <v>2053432</v>
      </c>
      <c r="B34" t="s">
        <v>12</v>
      </c>
      <c r="C34" t="s">
        <v>78</v>
      </c>
      <c r="E34">
        <f t="shared" si="0"/>
        <v>14</v>
      </c>
      <c r="F34" t="str">
        <f t="shared" si="9"/>
        <v>2053432_chr16:2053454-2053454:-&gt;GT</v>
      </c>
      <c r="G34" s="4" t="s">
        <v>1051</v>
      </c>
      <c r="H34" t="s">
        <v>563</v>
      </c>
      <c r="I34" t="s">
        <v>978</v>
      </c>
      <c r="J34" t="s">
        <v>981</v>
      </c>
      <c r="K34" t="str">
        <f t="shared" si="1"/>
        <v>AGAGACAGGAGCCTTCGGTGTTAGGCCATCGTGCAGGGGCAGGTGTAAGGCCCAGGGCGACGCTGGGATGGGTGACGTCAGGCTGCCCACTGACTGTCCTGTCCCTGCTGGGCCGTGTTTGGACTCCTGCCTCGGTAGGTAGGAGGATAGGCCAGG</v>
      </c>
      <c r="L34" t="str">
        <f t="shared" si="2"/>
        <v>CGGTG</v>
      </c>
      <c r="M34" t="str">
        <f t="shared" si="3"/>
        <v>AGGCC</v>
      </c>
      <c r="N34">
        <f t="shared" si="4"/>
        <v>156</v>
      </c>
      <c r="O34">
        <f t="shared" si="5"/>
        <v>2</v>
      </c>
      <c r="P34" t="str">
        <f t="shared" si="6"/>
        <v>AGAGACAGGAGCCTTCGGTGTTAGGCCATCGTGCAGGGGCAG</v>
      </c>
    </row>
    <row r="35" spans="1:16" x14ac:dyDescent="0.25">
      <c r="A35">
        <v>2053432</v>
      </c>
      <c r="B35" t="s">
        <v>12</v>
      </c>
      <c r="C35" t="s">
        <v>79</v>
      </c>
      <c r="E35">
        <f t="shared" si="0"/>
        <v>14</v>
      </c>
      <c r="F35" t="str">
        <f t="shared" si="9"/>
        <v>2053432_chr16:2053456-2053457:G&gt;C</v>
      </c>
      <c r="G35" t="s">
        <v>987</v>
      </c>
      <c r="H35" t="s">
        <v>564</v>
      </c>
      <c r="I35" t="s">
        <v>978</v>
      </c>
      <c r="J35" t="s">
        <v>979</v>
      </c>
      <c r="K35" t="str">
        <f t="shared" si="1"/>
        <v>AGAGACAGGAGCCTTCGGTGGCAGGCCATCGTGCAGGGGCAGGTAACGCCCAGGGCGACGCTGGGATGGGTGACGTCAGGCTGCCCACTGACTGTCCTGTCCCTGCTGGGCCGTGTTTGGACTCCTGCCTCGGTAGGTAGGAGGATAGGCCAGG</v>
      </c>
      <c r="L35" t="str">
        <f t="shared" si="2"/>
        <v>CGGTG</v>
      </c>
      <c r="M35" t="str">
        <f t="shared" si="3"/>
        <v>AGGCC</v>
      </c>
      <c r="N35">
        <f t="shared" si="4"/>
        <v>154</v>
      </c>
      <c r="O35">
        <f t="shared" si="5"/>
        <v>2</v>
      </c>
      <c r="P35" t="str">
        <f t="shared" si="6"/>
        <v>AGAGACAGGAGCCTTCGGTGGCAGGCCATCGTGCAGGGGCAG</v>
      </c>
    </row>
    <row r="36" spans="1:16" x14ac:dyDescent="0.25">
      <c r="A36">
        <v>2053432</v>
      </c>
      <c r="B36" t="s">
        <v>12</v>
      </c>
      <c r="C36" t="s">
        <v>80</v>
      </c>
      <c r="E36">
        <f t="shared" si="0"/>
        <v>14</v>
      </c>
      <c r="F36" t="str">
        <f t="shared" si="9"/>
        <v>2053432_chr16:2053459-2053460:C&gt;T</v>
      </c>
      <c r="G36" t="s">
        <v>988</v>
      </c>
      <c r="H36" t="s">
        <v>565</v>
      </c>
      <c r="I36" t="s">
        <v>978</v>
      </c>
      <c r="J36" t="s">
        <v>979</v>
      </c>
      <c r="K36" t="str">
        <f t="shared" si="1"/>
        <v>AGAGACAGGAGCCTTCGGTGACAGGCCATCGTGCAGGGGCAGGTAAGGCTCAGGGCGACGCTGGGATGGGTGACGTCAGGCTGCCCACTGACTGTCCTGTCCCTGCTGGGCCGTGTTTGGACTCCTGCCTCGGTAGGTAGGAGGATAGGCCAGG</v>
      </c>
      <c r="L36" t="str">
        <f t="shared" si="2"/>
        <v>CGGTG</v>
      </c>
      <c r="M36" t="str">
        <f t="shared" si="3"/>
        <v>AGGCC</v>
      </c>
      <c r="N36">
        <f t="shared" si="4"/>
        <v>154</v>
      </c>
      <c r="O36">
        <f t="shared" si="5"/>
        <v>2</v>
      </c>
      <c r="P36" t="str">
        <f t="shared" si="6"/>
        <v>AGAGACAGGAGCCTTCGGTGACAGGCCATCGTGCAGGGGCAG</v>
      </c>
    </row>
    <row r="37" spans="1:16" x14ac:dyDescent="0.25">
      <c r="A37">
        <v>2053432</v>
      </c>
      <c r="B37" t="s">
        <v>12</v>
      </c>
      <c r="C37" t="s">
        <v>81</v>
      </c>
      <c r="E37">
        <f t="shared" si="0"/>
        <v>14</v>
      </c>
      <c r="F37" t="str">
        <f t="shared" si="9"/>
        <v>2053432_chr16:2053461-2053462:A&gt;G</v>
      </c>
      <c r="G37" t="s">
        <v>989</v>
      </c>
      <c r="H37" t="s">
        <v>566</v>
      </c>
      <c r="I37" t="s">
        <v>978</v>
      </c>
      <c r="J37" t="s">
        <v>979</v>
      </c>
      <c r="K37" t="str">
        <f t="shared" si="1"/>
        <v>AGAGACAGGAGCCTTCGGTGCGAGGCCATCGTGCAGGGGCAGGTAAGGCCCGGGGCGACGCTGGGATGGGTGACGTCAGGCTGCCCACTGACTGTCCTGTCCCTGCTGGGCCGTGTTTGGACTCCTGCCTCGGTAGGTAGGAGGATAGGCCAGG</v>
      </c>
      <c r="L37" t="str">
        <f t="shared" si="2"/>
        <v>CGGTG</v>
      </c>
      <c r="M37" t="str">
        <f t="shared" si="3"/>
        <v>AGGCC</v>
      </c>
      <c r="N37">
        <f t="shared" si="4"/>
        <v>154</v>
      </c>
      <c r="O37">
        <f t="shared" si="5"/>
        <v>2</v>
      </c>
      <c r="P37" t="str">
        <f t="shared" si="6"/>
        <v>AGAGACAGGAGCCTTCGGTGCGAGGCCATCGTGCAGGGGCAG</v>
      </c>
    </row>
    <row r="38" spans="1:16" x14ac:dyDescent="0.25">
      <c r="A38">
        <v>2053432</v>
      </c>
      <c r="B38" t="s">
        <v>12</v>
      </c>
      <c r="C38" t="s">
        <v>82</v>
      </c>
      <c r="E38">
        <f t="shared" si="0"/>
        <v>14</v>
      </c>
      <c r="F38" t="str">
        <f t="shared" si="9"/>
        <v>2053432_chr16:2053465-2053466:C&gt;T</v>
      </c>
      <c r="G38" t="s">
        <v>990</v>
      </c>
      <c r="H38" t="s">
        <v>567</v>
      </c>
      <c r="I38" t="s">
        <v>978</v>
      </c>
      <c r="J38" t="s">
        <v>981</v>
      </c>
      <c r="K38" t="str">
        <f t="shared" si="1"/>
        <v>AGAGACAGGAGCCTTCGGTGGTAGGCCATCGTGCAGGGGCAGGTAAGGCCCAGGGTGACGCTGGGATGGGTGACGTCAGGCTGCCCACTGACTGTCCTGTCCCTGCTGGGCCGTGTTTGGACTCCTGCCTCGGTAGGTAGGAGGATAGGCCAGG</v>
      </c>
      <c r="L38" t="str">
        <f t="shared" si="2"/>
        <v>CGGTG</v>
      </c>
      <c r="M38" t="str">
        <f t="shared" si="3"/>
        <v>AGGCC</v>
      </c>
      <c r="N38">
        <f t="shared" si="4"/>
        <v>154</v>
      </c>
      <c r="O38">
        <f t="shared" si="5"/>
        <v>2</v>
      </c>
      <c r="P38" t="str">
        <f t="shared" si="6"/>
        <v>AGAGACAGGAGCCTTCGGTGGTAGGCCATCGTGCAGGGGCAG</v>
      </c>
    </row>
    <row r="39" spans="1:16" x14ac:dyDescent="0.25">
      <c r="A39">
        <v>2053432</v>
      </c>
      <c r="B39" t="s">
        <v>12</v>
      </c>
      <c r="C39" t="s">
        <v>83</v>
      </c>
      <c r="E39">
        <f t="shared" si="0"/>
        <v>14</v>
      </c>
      <c r="F39" t="str">
        <f t="shared" si="9"/>
        <v>2053432_chr16:2053481-2053482:G&gt;A</v>
      </c>
      <c r="G39" t="s">
        <v>991</v>
      </c>
      <c r="H39" t="s">
        <v>568</v>
      </c>
      <c r="I39" t="s">
        <v>978</v>
      </c>
      <c r="J39" t="s">
        <v>979</v>
      </c>
      <c r="K39" t="str">
        <f t="shared" si="1"/>
        <v>AGAGACAGGAGCCTTCGGTGGAAGGCCATCGTGCAGGGGCAGGTAAGGCCCAGGGCGACGCTGGGATGGGTAACGTCAGGCTGCCCACTGACTGTCCTGTCCCTGCTGGGCCGTGTTTGGACTCCTGCCTCGGTAGGTAGGAGGATAGGCCAGG</v>
      </c>
      <c r="L39" t="str">
        <f t="shared" si="2"/>
        <v>CGGTG</v>
      </c>
      <c r="M39" t="str">
        <f t="shared" si="3"/>
        <v>AGGCC</v>
      </c>
      <c r="N39">
        <f t="shared" si="4"/>
        <v>154</v>
      </c>
      <c r="O39">
        <f t="shared" si="5"/>
        <v>2</v>
      </c>
      <c r="P39" t="str">
        <f t="shared" si="6"/>
        <v>AGAGACAGGAGCCTTCGGTGGAAGGCCATCGTGCAGGGGCAG</v>
      </c>
    </row>
    <row r="40" spans="1:16" x14ac:dyDescent="0.25">
      <c r="A40">
        <v>2053432</v>
      </c>
      <c r="B40" t="s">
        <v>12</v>
      </c>
      <c r="C40" t="s">
        <v>84</v>
      </c>
      <c r="E40">
        <f t="shared" si="0"/>
        <v>14</v>
      </c>
      <c r="F40" t="str">
        <f t="shared" si="9"/>
        <v>2053432_chr16:2053483-2053484:C&gt;T</v>
      </c>
      <c r="G40" t="s">
        <v>992</v>
      </c>
      <c r="H40" t="s">
        <v>569</v>
      </c>
      <c r="I40" t="s">
        <v>978</v>
      </c>
      <c r="J40" t="s">
        <v>981</v>
      </c>
      <c r="K40" t="str">
        <f t="shared" si="1"/>
        <v>AGAGACAGGAGCCTTCGGTGTCAGGCCATCGTGCAGGGGCAGGTAAGGCCCAGGGCGACGCTGGGATGGGTGATGTCAGGCTGCCCACTGACTGTCCTGTCCCTGCTGGGCCGTGTTTGGACTCCTGCCTCGGTAGGTAGGAGGATAGGCCAGG</v>
      </c>
      <c r="L40" t="str">
        <f t="shared" si="2"/>
        <v>CGGTG</v>
      </c>
      <c r="M40" t="str">
        <f t="shared" si="3"/>
        <v>AGGCC</v>
      </c>
      <c r="N40">
        <f t="shared" si="4"/>
        <v>154</v>
      </c>
      <c r="O40">
        <f t="shared" si="5"/>
        <v>2</v>
      </c>
      <c r="P40" t="str">
        <f t="shared" si="6"/>
        <v>AGAGACAGGAGCCTTCGGTGTCAGGCCATCGTGCAGGGGCAG</v>
      </c>
    </row>
    <row r="41" spans="1:16" x14ac:dyDescent="0.25">
      <c r="A41">
        <v>2053432</v>
      </c>
      <c r="B41" t="s">
        <v>12</v>
      </c>
      <c r="C41" t="s">
        <v>85</v>
      </c>
      <c r="E41">
        <f t="shared" si="0"/>
        <v>14</v>
      </c>
      <c r="F41" t="str">
        <f t="shared" si="9"/>
        <v>2053432_chr16:2053484-2053485:G&gt;T</v>
      </c>
      <c r="G41" s="2" t="s">
        <v>1044</v>
      </c>
      <c r="H41" t="s">
        <v>570</v>
      </c>
      <c r="I41" t="s">
        <v>978</v>
      </c>
      <c r="J41" t="s">
        <v>979</v>
      </c>
      <c r="K41" t="str">
        <f t="shared" si="1"/>
        <v>AGAGACAGGAGCCTTCGGTGAAAGGCCATCGTGCAGGGGCAGGTAAGGCCCAGGGCGACGCTGGGATGGGTGACTTCAGGCTGCCCACTGACTGTCCTGTCCCTGCTGGGCCGTGTTTGGACTCCTGCCTCGGTAGGTAGGAGGATAGGCCAGG</v>
      </c>
      <c r="L41" t="str">
        <f t="shared" si="2"/>
        <v>CGGTG</v>
      </c>
      <c r="M41" t="str">
        <f t="shared" si="3"/>
        <v>AGGCC</v>
      </c>
      <c r="N41">
        <f t="shared" si="4"/>
        <v>154</v>
      </c>
      <c r="O41">
        <f t="shared" si="5"/>
        <v>2</v>
      </c>
      <c r="P41" t="str">
        <f t="shared" si="6"/>
        <v>AGAGACAGGAGCCTTCGGTGAAAGGCCATCGTGCAGGGGCAG</v>
      </c>
    </row>
    <row r="42" spans="1:16" x14ac:dyDescent="0.25">
      <c r="A42">
        <v>2053432</v>
      </c>
      <c r="B42" t="s">
        <v>12</v>
      </c>
      <c r="C42" t="s">
        <v>86</v>
      </c>
      <c r="E42">
        <f t="shared" si="0"/>
        <v>14</v>
      </c>
      <c r="F42" t="str">
        <f t="shared" si="9"/>
        <v>2053432_chr16:2053512-2053513:C&gt;T</v>
      </c>
      <c r="G42" t="s">
        <v>1014</v>
      </c>
      <c r="H42" t="s">
        <v>571</v>
      </c>
      <c r="I42" t="s">
        <v>980</v>
      </c>
      <c r="J42" t="s">
        <v>979</v>
      </c>
      <c r="K42" t="str">
        <f t="shared" si="1"/>
        <v>AGAGACAGGAGCCTTCGGTGCCAGGCCATCGTGCAGGGGCAGGTAAGGCCCAGGGCGACGCTGGGATGGGTGACGTCAGGCTGCCCACTGACTGTCCTGTCCTTGCTGGGCCGTGTTTGGACTCCTGCCTCGGTAGGTAGGAGGATAGGCCAGG</v>
      </c>
      <c r="L42" t="str">
        <f t="shared" si="2"/>
        <v>CGGTG</v>
      </c>
      <c r="M42" t="str">
        <f t="shared" si="3"/>
        <v>AGGCC</v>
      </c>
      <c r="N42">
        <f t="shared" si="4"/>
        <v>154</v>
      </c>
      <c r="O42">
        <f t="shared" si="5"/>
        <v>2</v>
      </c>
      <c r="P42" t="str">
        <f t="shared" si="6"/>
        <v>AGAGACAGGAGCCTTCGGTGCCAGGCCATCGTGCAGGGGCAG</v>
      </c>
    </row>
    <row r="43" spans="1:16" x14ac:dyDescent="0.25">
      <c r="A43">
        <v>2054420</v>
      </c>
      <c r="B43" t="s">
        <v>13</v>
      </c>
      <c r="C43" t="s">
        <v>87</v>
      </c>
      <c r="D43" t="s">
        <v>534</v>
      </c>
      <c r="E43">
        <f t="shared" si="0"/>
        <v>11</v>
      </c>
      <c r="F43" t="str">
        <f>(A43&amp;"_"&amp;D43)</f>
        <v>2054420_wt</v>
      </c>
      <c r="G43" t="s">
        <v>983</v>
      </c>
      <c r="H43" t="s">
        <v>497</v>
      </c>
      <c r="I43" t="s">
        <v>978</v>
      </c>
      <c r="J43" t="s">
        <v>979</v>
      </c>
      <c r="K43" t="str">
        <f t="shared" si="1"/>
        <v>AGAGACAGGAGCCTTCGGTGAGCTACTTGGAGGAAGAGCTGGGTGGGTGCCACCTTGGGTTGGAGGTTTCTCTGGCCTTGACGATCAAGTGTAACCTGGATGGGAAGGACCTGGGGCTGGGGAGGGGCTGCCGTAGGTAGGAGGATAGGCCAGG</v>
      </c>
      <c r="L43" t="str">
        <f t="shared" si="2"/>
        <v>CGGTG</v>
      </c>
      <c r="M43" t="str">
        <f t="shared" si="3"/>
        <v>CTACT</v>
      </c>
      <c r="N43">
        <f t="shared" si="4"/>
        <v>154</v>
      </c>
      <c r="O43">
        <f t="shared" si="5"/>
        <v>2</v>
      </c>
      <c r="P43" t="str">
        <f t="shared" si="6"/>
        <v>AGAGACAGGAGCCTTCGGTGAGCTACTTGGAGGAAGAGCTGG</v>
      </c>
    </row>
    <row r="44" spans="1:16" x14ac:dyDescent="0.25">
      <c r="A44">
        <v>2054420</v>
      </c>
      <c r="B44" t="s">
        <v>13</v>
      </c>
      <c r="C44" t="s">
        <v>87</v>
      </c>
      <c r="E44">
        <f t="shared" si="0"/>
        <v>11</v>
      </c>
      <c r="F44" t="str">
        <f t="shared" ref="F44:F53" si="10">(A44&amp;"_"&amp;C44)</f>
        <v>2054420_chr16:2054440-2054441:G&gt;T</v>
      </c>
      <c r="G44" t="s">
        <v>984</v>
      </c>
      <c r="H44" t="s">
        <v>572</v>
      </c>
      <c r="I44" t="s">
        <v>978</v>
      </c>
      <c r="J44" t="s">
        <v>979</v>
      </c>
      <c r="K44" t="str">
        <f t="shared" si="1"/>
        <v>AGAGACAGGAGCCTTCGGTGCACTACTTGGAGGAAGAGCTGGTTGGGTGCCACCTTGGGTTGGAGGTTTCTCTGGCCTTGACGATCAAGTGTAACCTGGATGGGAAGGACCTGGGGCTGGGGAGGGGCTGCCGTAGGTAGGAGGATAGGCCAGG</v>
      </c>
      <c r="L44" t="str">
        <f t="shared" si="2"/>
        <v>CGGTG</v>
      </c>
      <c r="M44" t="str">
        <f t="shared" si="3"/>
        <v>CTACT</v>
      </c>
      <c r="N44">
        <f t="shared" si="4"/>
        <v>154</v>
      </c>
      <c r="O44">
        <f t="shared" si="5"/>
        <v>2</v>
      </c>
      <c r="P44" t="str">
        <f t="shared" si="6"/>
        <v>AGAGACAGGAGCCTTCGGTGCACTACTTGGAGGAAGAGCTGG</v>
      </c>
    </row>
    <row r="45" spans="1:16" x14ac:dyDescent="0.25">
      <c r="A45">
        <v>2054420</v>
      </c>
      <c r="B45" t="s">
        <v>13</v>
      </c>
      <c r="C45" t="s">
        <v>88</v>
      </c>
      <c r="E45">
        <f t="shared" si="0"/>
        <v>11</v>
      </c>
      <c r="F45" t="str">
        <f t="shared" si="10"/>
        <v>2054420_chr16:2054441-2054442:T&gt;-</v>
      </c>
      <c r="G45" t="s">
        <v>985</v>
      </c>
      <c r="H45" t="s">
        <v>573</v>
      </c>
      <c r="I45" t="s">
        <v>978</v>
      </c>
      <c r="J45" t="s">
        <v>979</v>
      </c>
      <c r="K45" t="str">
        <f t="shared" si="1"/>
        <v>AGAGACAGGAGCCTTCGGTGATCTACTTGGAGGAAGAGCTGGGGGGTGCCACCTTGGGTTGGAGGTTTCTCTGGCCTTGACGATCAAGTGTAACCTGGATGGGAAGGACCTGGGGCTGGGGAGGGGCTGCCGTAGGTAGGAGGATAGGCCAGG</v>
      </c>
      <c r="L45" t="str">
        <f t="shared" si="2"/>
        <v>CGGTG</v>
      </c>
      <c r="M45" t="str">
        <f t="shared" si="3"/>
        <v>CTACT</v>
      </c>
      <c r="N45">
        <f t="shared" si="4"/>
        <v>153</v>
      </c>
      <c r="O45">
        <f t="shared" si="5"/>
        <v>2</v>
      </c>
      <c r="P45" t="str">
        <f t="shared" si="6"/>
        <v>AGAGACAGGAGCCTTCGGTGATCTACTTGGAGGAAGAGCTGG</v>
      </c>
    </row>
    <row r="46" spans="1:16" x14ac:dyDescent="0.25">
      <c r="A46">
        <v>2054420</v>
      </c>
      <c r="B46" t="s">
        <v>13</v>
      </c>
      <c r="C46" t="s">
        <v>89</v>
      </c>
      <c r="E46">
        <f t="shared" si="0"/>
        <v>11</v>
      </c>
      <c r="F46" t="str">
        <f t="shared" si="10"/>
        <v>2054420_chr16:2054444-2054445:G&gt;A</v>
      </c>
      <c r="G46" t="s">
        <v>1015</v>
      </c>
      <c r="H46" t="s">
        <v>574</v>
      </c>
      <c r="I46" t="s">
        <v>978</v>
      </c>
      <c r="J46" t="s">
        <v>979</v>
      </c>
      <c r="K46" t="str">
        <f t="shared" si="1"/>
        <v>AGAGACAGGAGCCTTCGGTGTGCTACTTGGAGGAAGAGCTGGGTGGATGCCACCTTGGGTTGGAGGTTTCTCTGGCCTTGACGATCAAGTGTAACCTGGATGGGAAGGACCTGGGGCTGGGGAGGGGCTGCCGTAGGTAGGAGGATAGGCCAGG</v>
      </c>
      <c r="L46" t="str">
        <f t="shared" si="2"/>
        <v>CGGTG</v>
      </c>
      <c r="M46" t="str">
        <f t="shared" si="3"/>
        <v>CTACT</v>
      </c>
      <c r="N46">
        <f t="shared" si="4"/>
        <v>154</v>
      </c>
      <c r="O46">
        <f t="shared" si="5"/>
        <v>2</v>
      </c>
      <c r="P46" t="str">
        <f t="shared" si="6"/>
        <v>AGAGACAGGAGCCTTCGGTGTGCTACTTGGAGGAAGAGCTGG</v>
      </c>
    </row>
    <row r="47" spans="1:16" x14ac:dyDescent="0.25">
      <c r="A47">
        <v>2054420</v>
      </c>
      <c r="B47" t="s">
        <v>13</v>
      </c>
      <c r="C47" t="s">
        <v>90</v>
      </c>
      <c r="E47">
        <f t="shared" si="0"/>
        <v>11</v>
      </c>
      <c r="F47" t="str">
        <f t="shared" si="10"/>
        <v>2054420_chr16:2054444-2054445:G&gt;T</v>
      </c>
      <c r="G47" s="4" t="s">
        <v>1052</v>
      </c>
      <c r="H47" t="s">
        <v>575</v>
      </c>
      <c r="I47" t="s">
        <v>978</v>
      </c>
      <c r="J47" t="s">
        <v>979</v>
      </c>
      <c r="K47" t="str">
        <f t="shared" si="1"/>
        <v>AGAGACAGGAGCCTTCGGTGTACTACTTGGAGGAAGAGCTGGGTGGTTGCCACCTTGGGTTGGAGGTTTCTCTGGCCTTGACGATCAAGTGTAACCTGGATGGGAAGGACCTGGGGCTGGGGAGGGGCTGCCGTAGGTAGGAGGATAGGCCAGG</v>
      </c>
      <c r="L47" t="str">
        <f t="shared" si="2"/>
        <v>CGGTG</v>
      </c>
      <c r="M47" t="str">
        <f t="shared" si="3"/>
        <v>CTACT</v>
      </c>
      <c r="N47">
        <f t="shared" si="4"/>
        <v>154</v>
      </c>
      <c r="O47">
        <f t="shared" si="5"/>
        <v>2</v>
      </c>
      <c r="P47" t="str">
        <f t="shared" si="6"/>
        <v>AGAGACAGGAGCCTTCGGTGTACTACTTGGAGGAAGAGCTGG</v>
      </c>
    </row>
    <row r="48" spans="1:16" x14ac:dyDescent="0.25">
      <c r="A48">
        <v>2054420</v>
      </c>
      <c r="B48" t="s">
        <v>13</v>
      </c>
      <c r="C48" t="s">
        <v>91</v>
      </c>
      <c r="E48">
        <f t="shared" si="0"/>
        <v>11</v>
      </c>
      <c r="F48" t="str">
        <f t="shared" si="10"/>
        <v>2054420_chr16:2054445-2054446:T&gt;G</v>
      </c>
      <c r="G48" t="s">
        <v>987</v>
      </c>
      <c r="H48" t="s">
        <v>576</v>
      </c>
      <c r="I48" t="s">
        <v>978</v>
      </c>
      <c r="J48" t="s">
        <v>979</v>
      </c>
      <c r="K48" t="str">
        <f t="shared" si="1"/>
        <v>AGAGACAGGAGCCTTCGGTGGCCTACTTGGAGGAAGAGCTGGGTGGGGGCCACCTTGGGTTGGAGGTTTCTCTGGCCTTGACGATCAAGTGTAACCTGGATGGGAAGGACCTGGGGCTGGGGAGGGGCTGCCGTAGGTAGGAGGATAGGCCAGG</v>
      </c>
      <c r="L48" t="str">
        <f t="shared" si="2"/>
        <v>CGGTG</v>
      </c>
      <c r="M48" t="str">
        <f t="shared" si="3"/>
        <v>CTACT</v>
      </c>
      <c r="N48">
        <f t="shared" si="4"/>
        <v>154</v>
      </c>
      <c r="O48">
        <f t="shared" si="5"/>
        <v>2</v>
      </c>
      <c r="P48" t="str">
        <f t="shared" si="6"/>
        <v>AGAGACAGGAGCCTTCGGTGGCCTACTTGGAGGAAGAGCTGG</v>
      </c>
    </row>
    <row r="49" spans="1:16" x14ac:dyDescent="0.25">
      <c r="A49">
        <v>2054420</v>
      </c>
      <c r="B49" t="s">
        <v>13</v>
      </c>
      <c r="C49" t="s">
        <v>92</v>
      </c>
      <c r="E49">
        <f t="shared" si="0"/>
        <v>11</v>
      </c>
      <c r="F49" t="str">
        <f t="shared" si="10"/>
        <v>2054420_chr16:2054447-2054448:C&gt;T</v>
      </c>
      <c r="G49" t="s">
        <v>988</v>
      </c>
      <c r="H49" t="s">
        <v>577</v>
      </c>
      <c r="I49" t="s">
        <v>978</v>
      </c>
      <c r="J49" t="s">
        <v>979</v>
      </c>
      <c r="K49" t="str">
        <f t="shared" si="1"/>
        <v>AGAGACAGGAGCCTTCGGTGACCTACTTGGAGGAAGAGCTGGGTGGGTGTCACCTTGGGTTGGAGGTTTCTCTGGCCTTGACGATCAAGTGTAACCTGGATGGGAAGGACCTGGGGCTGGGGAGGGGCTGCCGTAGGTAGGAGGATAGGCCAGG</v>
      </c>
      <c r="L49" t="str">
        <f t="shared" si="2"/>
        <v>CGGTG</v>
      </c>
      <c r="M49" t="str">
        <f t="shared" si="3"/>
        <v>CTACT</v>
      </c>
      <c r="N49">
        <f t="shared" si="4"/>
        <v>154</v>
      </c>
      <c r="O49">
        <f t="shared" si="5"/>
        <v>2</v>
      </c>
      <c r="P49" t="str">
        <f t="shared" si="6"/>
        <v>AGAGACAGGAGCCTTCGGTGACCTACTTGGAGGAAGAGCTGG</v>
      </c>
    </row>
    <row r="50" spans="1:16" x14ac:dyDescent="0.25">
      <c r="A50">
        <v>2054420</v>
      </c>
      <c r="B50" t="s">
        <v>13</v>
      </c>
      <c r="C50" t="s">
        <v>93</v>
      </c>
      <c r="E50">
        <f t="shared" si="0"/>
        <v>11</v>
      </c>
      <c r="F50" t="str">
        <f t="shared" si="10"/>
        <v>2054420_chr16:2054448-2054449:C&gt;T</v>
      </c>
      <c r="G50" t="s">
        <v>989</v>
      </c>
      <c r="H50" t="s">
        <v>578</v>
      </c>
      <c r="I50" t="s">
        <v>978</v>
      </c>
      <c r="J50" t="s">
        <v>979</v>
      </c>
      <c r="K50" t="str">
        <f t="shared" si="1"/>
        <v>AGAGACAGGAGCCTTCGGTGCGCTACTTGGAGGAAGAGCTGGGTGGGTGCTACCTTGGGTTGGAGGTTTCTCTGGCCTTGACGATCAAGTGTAACCTGGATGGGAAGGACCTGGGGCTGGGGAGGGGCTGCCGTAGGTAGGAGGATAGGCCAGG</v>
      </c>
      <c r="L50" t="str">
        <f t="shared" si="2"/>
        <v>CGGTG</v>
      </c>
      <c r="M50" t="str">
        <f t="shared" si="3"/>
        <v>CTACT</v>
      </c>
      <c r="N50">
        <f t="shared" si="4"/>
        <v>154</v>
      </c>
      <c r="O50">
        <f t="shared" si="5"/>
        <v>2</v>
      </c>
      <c r="P50" t="str">
        <f t="shared" si="6"/>
        <v>AGAGACAGGAGCCTTCGGTGCGCTACTTGGAGGAAGAGCTGG</v>
      </c>
    </row>
    <row r="51" spans="1:16" x14ac:dyDescent="0.25">
      <c r="A51">
        <v>2054420</v>
      </c>
      <c r="B51" t="s">
        <v>13</v>
      </c>
      <c r="C51" t="s">
        <v>94</v>
      </c>
      <c r="E51">
        <f t="shared" si="0"/>
        <v>11</v>
      </c>
      <c r="F51" t="str">
        <f t="shared" si="10"/>
        <v>2054420_chr16:2054449-2054450:A&gt;C</v>
      </c>
      <c r="G51" t="s">
        <v>990</v>
      </c>
      <c r="H51" t="s">
        <v>579</v>
      </c>
      <c r="I51" t="s">
        <v>978</v>
      </c>
      <c r="J51" t="s">
        <v>979</v>
      </c>
      <c r="K51" t="str">
        <f t="shared" si="1"/>
        <v>AGAGACAGGAGCCTTCGGTGGTCTACTTGGAGGAAGAGCTGGGTGGGTGCCCCCTTGGGTTGGAGGTTTCTCTGGCCTTGACGATCAAGTGTAACCTGGATGGGAAGGACCTGGGGCTGGGGAGGGGCTGCCGTAGGTAGGAGGATAGGCCAGG</v>
      </c>
      <c r="L51" t="str">
        <f t="shared" si="2"/>
        <v>CGGTG</v>
      </c>
      <c r="M51" t="str">
        <f t="shared" si="3"/>
        <v>CTACT</v>
      </c>
      <c r="N51">
        <f t="shared" si="4"/>
        <v>154</v>
      </c>
      <c r="O51">
        <f t="shared" si="5"/>
        <v>2</v>
      </c>
      <c r="P51" t="str">
        <f t="shared" si="6"/>
        <v>AGAGACAGGAGCCTTCGGTGGTCTACTTGGAGGAAGAGCTGG</v>
      </c>
    </row>
    <row r="52" spans="1:16" x14ac:dyDescent="0.25">
      <c r="A52">
        <v>2054420</v>
      </c>
      <c r="B52" t="s">
        <v>13</v>
      </c>
      <c r="C52" t="s">
        <v>95</v>
      </c>
      <c r="E52">
        <f t="shared" si="0"/>
        <v>11</v>
      </c>
      <c r="F52" t="str">
        <f t="shared" si="10"/>
        <v>2054420_chr16:2054451-2054452:C&gt;T</v>
      </c>
      <c r="G52" t="s">
        <v>991</v>
      </c>
      <c r="H52" t="s">
        <v>580</v>
      </c>
      <c r="I52" t="s">
        <v>978</v>
      </c>
      <c r="J52" t="s">
        <v>979</v>
      </c>
      <c r="K52" t="str">
        <f t="shared" si="1"/>
        <v>AGAGACAGGAGCCTTCGGTGGACTACTTGGAGGAAGAGCTGGGTGGGTGCCACTTTGGGTTGGAGGTTTCTCTGGCCTTGACGATCAAGTGTAACCTGGATGGGAAGGACCTGGGGCTGGGGAGGGGCTGCCGTAGGTAGGAGGATAGGCCAGG</v>
      </c>
      <c r="L52" t="str">
        <f t="shared" si="2"/>
        <v>CGGTG</v>
      </c>
      <c r="M52" t="str">
        <f t="shared" si="3"/>
        <v>CTACT</v>
      </c>
      <c r="N52">
        <f t="shared" si="4"/>
        <v>154</v>
      </c>
      <c r="O52">
        <f t="shared" si="5"/>
        <v>2</v>
      </c>
      <c r="P52" t="str">
        <f t="shared" si="6"/>
        <v>AGAGACAGGAGCCTTCGGTGGACTACTTGGAGGAAGAGCTGG</v>
      </c>
    </row>
    <row r="53" spans="1:16" x14ac:dyDescent="0.25">
      <c r="A53">
        <v>2054420</v>
      </c>
      <c r="B53" t="s">
        <v>13</v>
      </c>
      <c r="C53" t="s">
        <v>96</v>
      </c>
      <c r="E53">
        <f t="shared" si="0"/>
        <v>11</v>
      </c>
      <c r="F53" t="str">
        <f t="shared" si="10"/>
        <v>2054420_chr16:2054460-2054461:G&gt;C</v>
      </c>
      <c r="G53" t="s">
        <v>992</v>
      </c>
      <c r="H53" t="s">
        <v>581</v>
      </c>
      <c r="I53" t="s">
        <v>978</v>
      </c>
      <c r="J53" t="s">
        <v>979</v>
      </c>
      <c r="K53" t="str">
        <f t="shared" si="1"/>
        <v>AGAGACAGGAGCCTTCGGTGTCCTACTTGGAGGAAGAGCTGGGTGGGTGCCACCTTGGGTTGCAGGTTTCTCTGGCCTTGACGATCAAGTGTAACCTGGATGGGAAGGACCTGGGGCTGGGGAGGGGCTGCCGTAGGTAGGAGGATAGGCCAGG</v>
      </c>
      <c r="L53" t="str">
        <f t="shared" si="2"/>
        <v>CGGTG</v>
      </c>
      <c r="M53" t="str">
        <f t="shared" si="3"/>
        <v>CTACT</v>
      </c>
      <c r="N53">
        <f t="shared" si="4"/>
        <v>154</v>
      </c>
      <c r="O53">
        <f t="shared" si="5"/>
        <v>2</v>
      </c>
      <c r="P53" t="str">
        <f t="shared" si="6"/>
        <v>AGAGACAGGAGCCTTCGGTGTCCTACTTGGAGGAAGAGCTGG</v>
      </c>
    </row>
    <row r="54" spans="1:16" x14ac:dyDescent="0.25">
      <c r="A54">
        <v>2055499</v>
      </c>
      <c r="B54" t="s">
        <v>14</v>
      </c>
      <c r="C54" t="s">
        <v>97</v>
      </c>
      <c r="D54" t="s">
        <v>534</v>
      </c>
      <c r="E54">
        <f t="shared" si="0"/>
        <v>11</v>
      </c>
      <c r="F54" t="str">
        <f>(A54&amp;"_"&amp;D54)</f>
        <v>2055499_wt</v>
      </c>
      <c r="G54" t="s">
        <v>982</v>
      </c>
      <c r="H54" t="s">
        <v>498</v>
      </c>
      <c r="I54" t="s">
        <v>978</v>
      </c>
      <c r="J54" t="s">
        <v>979</v>
      </c>
      <c r="K54" t="str">
        <f t="shared" si="1"/>
        <v>AGAGACAGGAGCCTTCGGTGTATACATCGCAAGGATGGTTCAGTAAGAAAAGAATTGAGATCCTGTTCTGATAATGGTCCTAAGTTCAGCTCCGCAGTGAATAAAGTTGAAACCACCAAAAAAATAGAGGTTGGAGGTAGGAGGATAGGCCAGG</v>
      </c>
      <c r="L54" t="str">
        <f t="shared" si="2"/>
        <v>CGGTG</v>
      </c>
      <c r="M54" t="str">
        <f t="shared" si="3"/>
        <v>TACAT</v>
      </c>
      <c r="N54">
        <f t="shared" si="4"/>
        <v>154</v>
      </c>
      <c r="O54">
        <f t="shared" si="5"/>
        <v>2</v>
      </c>
      <c r="P54" t="str">
        <f t="shared" si="6"/>
        <v>AGAGACAGGAGCCTTCGGTGTATACATCGCAAGGATGGTTCA</v>
      </c>
    </row>
    <row r="55" spans="1:16" x14ac:dyDescent="0.25">
      <c r="A55">
        <v>2055499</v>
      </c>
      <c r="B55" t="s">
        <v>14</v>
      </c>
      <c r="C55" t="s">
        <v>97</v>
      </c>
      <c r="E55">
        <f t="shared" si="0"/>
        <v>11</v>
      </c>
      <c r="F55" t="str">
        <f t="shared" ref="F55:F64" si="11">(A55&amp;"_"&amp;C55)</f>
        <v>2055499_chr16:2055519-2055520:G&gt;A</v>
      </c>
      <c r="G55" t="s">
        <v>983</v>
      </c>
      <c r="H55" t="s">
        <v>582</v>
      </c>
      <c r="I55" t="s">
        <v>978</v>
      </c>
      <c r="J55" t="s">
        <v>979</v>
      </c>
      <c r="K55" t="str">
        <f t="shared" si="1"/>
        <v>AGAGACAGGAGCCTTCGGTGAGTACATCGCAAGGATGGTTCAATAAGAAAAGAATTGAGATCCTGTTCTGATAATGGTCCTAAGTTCAGCTCCGCAGTGAATAAAGTTGAAACCACCAAAAAAATAGAGGTTGGAGGTAGGAGGATAGGCCAGG</v>
      </c>
      <c r="L55" t="str">
        <f t="shared" si="2"/>
        <v>CGGTG</v>
      </c>
      <c r="M55" t="str">
        <f t="shared" si="3"/>
        <v>TACAT</v>
      </c>
      <c r="N55">
        <f t="shared" si="4"/>
        <v>154</v>
      </c>
      <c r="O55">
        <f t="shared" si="5"/>
        <v>2</v>
      </c>
      <c r="P55" t="str">
        <f t="shared" si="6"/>
        <v>AGAGACAGGAGCCTTCGGTGAGTACATCGCAAGGATGGTTCA</v>
      </c>
    </row>
    <row r="56" spans="1:16" x14ac:dyDescent="0.25">
      <c r="A56">
        <v>2055499</v>
      </c>
      <c r="B56" t="s">
        <v>14</v>
      </c>
      <c r="C56" t="s">
        <v>98</v>
      </c>
      <c r="E56">
        <f t="shared" si="0"/>
        <v>11</v>
      </c>
      <c r="F56" t="str">
        <f t="shared" si="11"/>
        <v>2055499_chr16:2055520-2055521:T&gt;G</v>
      </c>
      <c r="G56" t="s">
        <v>984</v>
      </c>
      <c r="H56" t="s">
        <v>583</v>
      </c>
      <c r="I56" t="s">
        <v>978</v>
      </c>
      <c r="J56" t="s">
        <v>981</v>
      </c>
      <c r="K56" t="str">
        <f t="shared" si="1"/>
        <v>AGAGACAGGAGCCTTCGGTGCATACATCGCAAGGATGGTTCAGGAAGAAAAGAATTGAGATCCTGTTCTGATAATGGTCCTAAGTTCAGCTCCGCAGTGAATAAAGTTGAAACCACCAAAAAAATAGAGGTTGGAGGTAGGAGGATAGGCCAGG</v>
      </c>
      <c r="L56" t="str">
        <f t="shared" si="2"/>
        <v>CGGTG</v>
      </c>
      <c r="M56" t="str">
        <f t="shared" si="3"/>
        <v>TACAT</v>
      </c>
      <c r="N56">
        <f t="shared" si="4"/>
        <v>154</v>
      </c>
      <c r="O56">
        <f t="shared" si="5"/>
        <v>2</v>
      </c>
      <c r="P56" t="str">
        <f t="shared" si="6"/>
        <v>AGAGACAGGAGCCTTCGGTGCATACATCGCAAGGATGGTTCA</v>
      </c>
    </row>
    <row r="57" spans="1:16" x14ac:dyDescent="0.25">
      <c r="A57">
        <v>2055499</v>
      </c>
      <c r="B57" t="s">
        <v>14</v>
      </c>
      <c r="C57" t="s">
        <v>99</v>
      </c>
      <c r="E57">
        <f t="shared" si="0"/>
        <v>11</v>
      </c>
      <c r="F57" t="str">
        <f t="shared" si="11"/>
        <v>2055499_chr16:2055521-2055522:A&gt;G</v>
      </c>
      <c r="G57" t="s">
        <v>985</v>
      </c>
      <c r="H57" t="s">
        <v>584</v>
      </c>
      <c r="I57" t="s">
        <v>978</v>
      </c>
      <c r="J57" t="s">
        <v>979</v>
      </c>
      <c r="K57" t="str">
        <f t="shared" si="1"/>
        <v>AGAGACAGGAGCCTTCGGTGATTACATCGCAAGGATGGTTCAGTGAGAAAAGAATTGAGATCCTGTTCTGATAATGGTCCTAAGTTCAGCTCCGCAGTGAATAAAGTTGAAACCACCAAAAAAATAGAGGTTGGAGGTAGGAGGATAGGCCAGG</v>
      </c>
      <c r="L57" t="str">
        <f t="shared" si="2"/>
        <v>CGGTG</v>
      </c>
      <c r="M57" t="str">
        <f t="shared" si="3"/>
        <v>TACAT</v>
      </c>
      <c r="N57">
        <f t="shared" si="4"/>
        <v>154</v>
      </c>
      <c r="O57">
        <f t="shared" si="5"/>
        <v>2</v>
      </c>
      <c r="P57" t="str">
        <f t="shared" si="6"/>
        <v>AGAGACAGGAGCCTTCGGTGATTACATCGCAAGGATGGTTCA</v>
      </c>
    </row>
    <row r="58" spans="1:16" x14ac:dyDescent="0.25">
      <c r="A58">
        <v>2055499</v>
      </c>
      <c r="B58" t="s">
        <v>14</v>
      </c>
      <c r="C58" t="s">
        <v>100</v>
      </c>
      <c r="E58">
        <f t="shared" si="0"/>
        <v>11</v>
      </c>
      <c r="F58" t="str">
        <f t="shared" si="11"/>
        <v>2055499_chr16:2055521-2055522:A&gt;T</v>
      </c>
      <c r="G58" t="s">
        <v>1011</v>
      </c>
      <c r="H58" t="s">
        <v>585</v>
      </c>
      <c r="I58" t="s">
        <v>978</v>
      </c>
      <c r="J58" t="s">
        <v>979</v>
      </c>
      <c r="K58" t="str">
        <f t="shared" si="1"/>
        <v>AGAGACAGGAGCCTTCGGTGTGTACATCGCAAGGATGGTTCAGTTAGAAAAGAATTGAGATCCTGTTCTGATAATGGTCCTAAGTTCAGCTCCGCAGTGAATAAAGTTGAAACCACCAAAAAAATAGAGGTTGGAGGTAGGAGGATAGGCCAGG</v>
      </c>
      <c r="L58" t="str">
        <f t="shared" si="2"/>
        <v>CGGTG</v>
      </c>
      <c r="M58" t="str">
        <f t="shared" si="3"/>
        <v>TACAT</v>
      </c>
      <c r="N58">
        <f t="shared" si="4"/>
        <v>154</v>
      </c>
      <c r="O58">
        <f t="shared" si="5"/>
        <v>2</v>
      </c>
      <c r="P58" t="str">
        <f t="shared" si="6"/>
        <v>AGAGACAGGAGCCTTCGGTGTGTACATCGCAAGGATGGTTCA</v>
      </c>
    </row>
    <row r="59" spans="1:16" x14ac:dyDescent="0.25">
      <c r="A59">
        <v>2055499</v>
      </c>
      <c r="B59" t="s">
        <v>14</v>
      </c>
      <c r="C59" t="s">
        <v>101</v>
      </c>
      <c r="E59">
        <f t="shared" si="0"/>
        <v>11</v>
      </c>
      <c r="F59" t="str">
        <f t="shared" si="11"/>
        <v>2055499_chr16:2055522-2055523:A&gt;G</v>
      </c>
      <c r="G59" s="4" t="s">
        <v>1053</v>
      </c>
      <c r="H59" t="s">
        <v>586</v>
      </c>
      <c r="I59" t="s">
        <v>978</v>
      </c>
      <c r="J59" t="s">
        <v>979</v>
      </c>
      <c r="K59" t="str">
        <f t="shared" si="1"/>
        <v>AGAGACAGGAGCCTTCGGTGTCTACATCGCAAGGATGGTTCAGTAGGAAAAGAATTGAGATCCTGTTCTGATAATGGTCCTAAGTTCAGCTCCGCAGTGAATAAAGTTGAAACCACCAAAAAAATAGAGGTTGGAGGTAGGAGGATAGGCCAGG</v>
      </c>
      <c r="L59" t="str">
        <f t="shared" si="2"/>
        <v>CGGTG</v>
      </c>
      <c r="M59" t="str">
        <f t="shared" si="3"/>
        <v>TACAT</v>
      </c>
      <c r="N59">
        <f t="shared" si="4"/>
        <v>154</v>
      </c>
      <c r="O59">
        <f t="shared" si="5"/>
        <v>2</v>
      </c>
      <c r="P59" t="str">
        <f t="shared" si="6"/>
        <v>AGAGACAGGAGCCTTCGGTGTCTACATCGCAAGGATGGTTCA</v>
      </c>
    </row>
    <row r="60" spans="1:16" x14ac:dyDescent="0.25">
      <c r="A60">
        <v>2055499</v>
      </c>
      <c r="B60" t="s">
        <v>14</v>
      </c>
      <c r="C60" t="s">
        <v>102</v>
      </c>
      <c r="E60">
        <f t="shared" si="0"/>
        <v>11</v>
      </c>
      <c r="F60" t="str">
        <f t="shared" si="11"/>
        <v>2055499_chr16:2055523-2055524:G&gt;-</v>
      </c>
      <c r="G60" t="s">
        <v>987</v>
      </c>
      <c r="H60" t="s">
        <v>587</v>
      </c>
      <c r="I60" t="s">
        <v>978</v>
      </c>
      <c r="J60" t="s">
        <v>979</v>
      </c>
      <c r="K60" t="str">
        <f t="shared" si="1"/>
        <v>AGAGACAGGAGCCTTCGGTGGCTACATCGCAAGGATGGTTCAGTAAAAAAGAATTGAGATCCTGTTCTGATAATGGTCCTAAGTTCAGCTCCGCAGTGAATAAAGTTGAAACCACCAAAAAAATAGAGGTTGGAGGTAGGAGGATAGGCCAGG</v>
      </c>
      <c r="L60" t="str">
        <f t="shared" si="2"/>
        <v>CGGTG</v>
      </c>
      <c r="M60" t="str">
        <f t="shared" si="3"/>
        <v>TACAT</v>
      </c>
      <c r="N60">
        <f t="shared" si="4"/>
        <v>153</v>
      </c>
      <c r="O60">
        <f t="shared" si="5"/>
        <v>2</v>
      </c>
      <c r="P60" t="str">
        <f t="shared" si="6"/>
        <v>AGAGACAGGAGCCTTCGGTGGCTACATCGCAAGGATGGTTCA</v>
      </c>
    </row>
    <row r="61" spans="1:16" x14ac:dyDescent="0.25">
      <c r="A61">
        <v>2055499</v>
      </c>
      <c r="B61" t="s">
        <v>14</v>
      </c>
      <c r="C61" t="s">
        <v>103</v>
      </c>
      <c r="E61">
        <f t="shared" si="0"/>
        <v>11</v>
      </c>
      <c r="F61" t="str">
        <f t="shared" si="11"/>
        <v>2055499_chr16:2055523-2055524:G&gt;A</v>
      </c>
      <c r="G61" t="s">
        <v>988</v>
      </c>
      <c r="H61" t="s">
        <v>588</v>
      </c>
      <c r="I61" t="s">
        <v>978</v>
      </c>
      <c r="J61" t="s">
        <v>979</v>
      </c>
      <c r="K61" t="str">
        <f t="shared" si="1"/>
        <v>AGAGACAGGAGCCTTCGGTGACTACATCGCAAGGATGGTTCAGTAAAAAAAGAATTGAGATCCTGTTCTGATAATGGTCCTAAGTTCAGCTCCGCAGTGAATAAAGTTGAAACCACCAAAAAAATAGAGGTTGGAGGTAGGAGGATAGGCCAGG</v>
      </c>
      <c r="L61" t="str">
        <f t="shared" si="2"/>
        <v>CGGTG</v>
      </c>
      <c r="M61" t="str">
        <f t="shared" si="3"/>
        <v>TACAT</v>
      </c>
      <c r="N61">
        <f t="shared" si="4"/>
        <v>154</v>
      </c>
      <c r="O61">
        <f t="shared" si="5"/>
        <v>2</v>
      </c>
      <c r="P61" t="str">
        <f t="shared" si="6"/>
        <v>AGAGACAGGAGCCTTCGGTGACTACATCGCAAGGATGGTTCA</v>
      </c>
    </row>
    <row r="62" spans="1:16" x14ac:dyDescent="0.25">
      <c r="A62">
        <v>2055499</v>
      </c>
      <c r="B62" t="s">
        <v>14</v>
      </c>
      <c r="C62" t="s">
        <v>104</v>
      </c>
      <c r="E62">
        <f t="shared" si="0"/>
        <v>11</v>
      </c>
      <c r="F62" t="str">
        <f t="shared" si="11"/>
        <v>2055499_chr16:2055523-2055524:G&gt;C</v>
      </c>
      <c r="G62" t="s">
        <v>989</v>
      </c>
      <c r="H62" t="s">
        <v>589</v>
      </c>
      <c r="I62" t="s">
        <v>978</v>
      </c>
      <c r="J62" t="s">
        <v>979</v>
      </c>
      <c r="K62" t="str">
        <f t="shared" si="1"/>
        <v>AGAGACAGGAGCCTTCGGTGCGTACATCGCAAGGATGGTTCAGTAACAAAAGAATTGAGATCCTGTTCTGATAATGGTCCTAAGTTCAGCTCCGCAGTGAATAAAGTTGAAACCACCAAAAAAATAGAGGTTGGAGGTAGGAGGATAGGCCAGG</v>
      </c>
      <c r="L62" t="str">
        <f t="shared" si="2"/>
        <v>CGGTG</v>
      </c>
      <c r="M62" t="str">
        <f t="shared" si="3"/>
        <v>TACAT</v>
      </c>
      <c r="N62">
        <f t="shared" si="4"/>
        <v>154</v>
      </c>
      <c r="O62">
        <f t="shared" si="5"/>
        <v>2</v>
      </c>
      <c r="P62" t="str">
        <f t="shared" si="6"/>
        <v>AGAGACAGGAGCCTTCGGTGCGTACATCGCAAGGATGGTTCA</v>
      </c>
    </row>
    <row r="63" spans="1:16" x14ac:dyDescent="0.25">
      <c r="A63">
        <v>2055499</v>
      </c>
      <c r="B63" t="s">
        <v>14</v>
      </c>
      <c r="C63" t="s">
        <v>105</v>
      </c>
      <c r="E63">
        <f t="shared" si="0"/>
        <v>11</v>
      </c>
      <c r="F63" t="str">
        <f t="shared" si="11"/>
        <v>2055499_chr16:2055528-2055529:G&gt;C</v>
      </c>
      <c r="G63" t="s">
        <v>990</v>
      </c>
      <c r="H63" t="s">
        <v>590</v>
      </c>
      <c r="I63" t="s">
        <v>978</v>
      </c>
      <c r="J63" t="s">
        <v>979</v>
      </c>
      <c r="K63" t="str">
        <f t="shared" si="1"/>
        <v>AGAGACAGGAGCCTTCGGTGGTTACATCGCAAGGATGGTTCAGTAAGAAAACAATTGAGATCCTGTTCTGATAATGGTCCTAAGTTCAGCTCCGCAGTGAATAAAGTTGAAACCACCAAAAAAATAGAGGTTGGAGGTAGGAGGATAGGCCAGG</v>
      </c>
      <c r="L63" t="str">
        <f t="shared" si="2"/>
        <v>CGGTG</v>
      </c>
      <c r="M63" t="str">
        <f t="shared" si="3"/>
        <v>TACAT</v>
      </c>
      <c r="N63">
        <f t="shared" si="4"/>
        <v>154</v>
      </c>
      <c r="O63">
        <f t="shared" si="5"/>
        <v>2</v>
      </c>
      <c r="P63" t="str">
        <f t="shared" si="6"/>
        <v>AGAGACAGGAGCCTTCGGTGGTTACATCGCAAGGATGGTTCA</v>
      </c>
    </row>
    <row r="64" spans="1:16" x14ac:dyDescent="0.25">
      <c r="A64">
        <v>2055499</v>
      </c>
      <c r="B64" t="s">
        <v>14</v>
      </c>
      <c r="C64" t="s">
        <v>106</v>
      </c>
      <c r="E64">
        <f t="shared" si="0"/>
        <v>11</v>
      </c>
      <c r="F64" t="str">
        <f t="shared" si="11"/>
        <v>2055499_chr16:2055535-2055536:G&gt;C</v>
      </c>
      <c r="G64" t="s">
        <v>991</v>
      </c>
      <c r="H64" t="s">
        <v>591</v>
      </c>
      <c r="I64" t="s">
        <v>978</v>
      </c>
      <c r="J64" t="s">
        <v>981</v>
      </c>
      <c r="K64" t="str">
        <f t="shared" si="1"/>
        <v>AGAGACAGGAGCCTTCGGTGGATACATCGCAAGGATGGTTCAGTAAGAAAAGAATTGACATCCTGTTCTGATAATGGTCCTAAGTTCAGCTCCGCAGTGAATAAAGTTGAAACCACCAAAAAAATAGAGGTTGGAGGTAGGAGGATAGGCCAGG</v>
      </c>
      <c r="L64" t="str">
        <f t="shared" si="2"/>
        <v>CGGTG</v>
      </c>
      <c r="M64" t="str">
        <f t="shared" si="3"/>
        <v>TACAT</v>
      </c>
      <c r="N64">
        <f t="shared" si="4"/>
        <v>154</v>
      </c>
      <c r="O64">
        <f t="shared" si="5"/>
        <v>2</v>
      </c>
      <c r="P64" t="str">
        <f t="shared" si="6"/>
        <v>AGAGACAGGAGCCTTCGGTGGATACATCGCAAGGATGGTTCA</v>
      </c>
    </row>
    <row r="65" spans="1:16" x14ac:dyDescent="0.25">
      <c r="A65">
        <v>2056224</v>
      </c>
      <c r="B65" t="s">
        <v>15</v>
      </c>
      <c r="C65" t="s">
        <v>107</v>
      </c>
      <c r="D65" t="s">
        <v>534</v>
      </c>
      <c r="E65">
        <f t="shared" si="0"/>
        <v>9</v>
      </c>
      <c r="F65" t="str">
        <f>(A65&amp;"_"&amp;D65)</f>
        <v>2056224_wt</v>
      </c>
      <c r="G65" t="s">
        <v>984</v>
      </c>
      <c r="H65" t="s">
        <v>499</v>
      </c>
      <c r="I65" t="s">
        <v>978</v>
      </c>
      <c r="J65" t="s">
        <v>979</v>
      </c>
      <c r="K65" t="str">
        <f t="shared" si="1"/>
        <v>AGAGACAGGAGCCTTCGGTGCACGTCCTCTGTGGACATAGAGGTCAGTGCCTCCCCTCCCCAGGGCCGGCCCATTTCACCCTGGTTTCTGGGAGGCTGGGGCTTGGGGGTTGAGCCCTGTGTGCCACCTGCTGGAGGTAGGAGGATAGGCCAGG</v>
      </c>
      <c r="L65" t="str">
        <f t="shared" si="2"/>
        <v>CGGTG</v>
      </c>
      <c r="M65" t="str">
        <f t="shared" si="3"/>
        <v>CGTCC</v>
      </c>
      <c r="N65">
        <f t="shared" si="4"/>
        <v>154</v>
      </c>
      <c r="O65">
        <f t="shared" si="5"/>
        <v>2</v>
      </c>
      <c r="P65" t="str">
        <f t="shared" si="6"/>
        <v>AGAGACAGGAGCCTTCGGTGCACGTCCTCTGTGGACATAGAG</v>
      </c>
    </row>
    <row r="66" spans="1:16" x14ac:dyDescent="0.25">
      <c r="A66">
        <v>2056224</v>
      </c>
      <c r="B66" t="s">
        <v>15</v>
      </c>
      <c r="C66" t="s">
        <v>107</v>
      </c>
      <c r="E66">
        <f t="shared" ref="E66:E129" si="12">COUNTIF(A:A,A66)</f>
        <v>9</v>
      </c>
      <c r="F66" t="str">
        <f t="shared" ref="F66:F73" si="13">(A66&amp;"_"&amp;C66)</f>
        <v>2056224_chr16:2056244-2056245:G&gt;A</v>
      </c>
      <c r="G66" t="s">
        <v>985</v>
      </c>
      <c r="H66" t="s">
        <v>592</v>
      </c>
      <c r="I66" t="s">
        <v>978</v>
      </c>
      <c r="J66" t="s">
        <v>979</v>
      </c>
      <c r="K66" t="str">
        <f t="shared" si="1"/>
        <v>AGAGACAGGAGCCTTCGGTGATCGTCCTCTGTGGACATAGAGATCAGTGCCTCCCCTCCCCAGGGCCGGCCCATTTCACCCTGGTTTCTGGGAGGCTGGGGCTTGGGGGTTGAGCCCTGTGTGCCACCTGCTGGAGGTAGGAGGATAGGCCAGG</v>
      </c>
      <c r="L66" t="str">
        <f t="shared" si="2"/>
        <v>CGGTG</v>
      </c>
      <c r="M66" t="str">
        <f t="shared" si="3"/>
        <v>CGTCC</v>
      </c>
      <c r="N66">
        <f t="shared" si="4"/>
        <v>154</v>
      </c>
      <c r="O66">
        <f t="shared" si="5"/>
        <v>2</v>
      </c>
      <c r="P66" t="str">
        <f t="shared" si="6"/>
        <v>AGAGACAGGAGCCTTCGGTGATCGTCCTCTGTGGACATAGAG</v>
      </c>
    </row>
    <row r="67" spans="1:16" x14ac:dyDescent="0.25">
      <c r="A67">
        <v>2056224</v>
      </c>
      <c r="B67" t="s">
        <v>15</v>
      </c>
      <c r="C67" t="s">
        <v>108</v>
      </c>
      <c r="E67">
        <f t="shared" si="12"/>
        <v>9</v>
      </c>
      <c r="F67" t="str">
        <f t="shared" si="13"/>
        <v>2056224_chr16:2056244-2056245:G&gt;C</v>
      </c>
      <c r="G67" t="s">
        <v>1016</v>
      </c>
      <c r="H67" t="s">
        <v>593</v>
      </c>
      <c r="I67" t="s">
        <v>978</v>
      </c>
      <c r="J67" t="s">
        <v>981</v>
      </c>
      <c r="K67" t="str">
        <f t="shared" ref="K67:K130" si="14">(I67&amp;G67&amp;H67&amp;J67)</f>
        <v>AGAGACAGGAGCCTTCGGTGTGCGTCCTCTGTGGACATAGAGCTCAGTGCCTCCCCTCCCCAGGGCCGGCCCATTTCACCCTGGTTTCTGGGAGGCTGGGGCTTGGGGGTTGAGCCCTGTGTGCCACCTGCTGGAGGTAGGAGGATAGGCCAGG</v>
      </c>
      <c r="L67" t="str">
        <f t="shared" ref="L67:L130" si="15">RIGHT(I67,5)</f>
        <v>CGGTG</v>
      </c>
      <c r="M67" t="str">
        <f t="shared" ref="M67:M130" si="16">LEFT(H67,5)</f>
        <v>CGTCC</v>
      </c>
      <c r="N67">
        <f t="shared" ref="N67:N130" si="17">LEN(K67)</f>
        <v>154</v>
      </c>
      <c r="O67">
        <f t="shared" ref="O67:O130" si="18">LEN(G67)</f>
        <v>2</v>
      </c>
      <c r="P67" t="str">
        <f t="shared" ref="P67:P73" si="19">LEFT(K67,42)</f>
        <v>AGAGACAGGAGCCTTCGGTGTGCGTCCTCTGTGGACATAGAG</v>
      </c>
    </row>
    <row r="68" spans="1:16" x14ac:dyDescent="0.25">
      <c r="A68">
        <v>2056224</v>
      </c>
      <c r="B68" t="s">
        <v>15</v>
      </c>
      <c r="C68" t="s">
        <v>109</v>
      </c>
      <c r="E68">
        <f t="shared" si="12"/>
        <v>9</v>
      </c>
      <c r="F68" t="str">
        <f t="shared" si="13"/>
        <v>2056224_chr16:2056244-2056245:G&gt;T</v>
      </c>
      <c r="G68" s="4" t="s">
        <v>1054</v>
      </c>
      <c r="H68" t="s">
        <v>594</v>
      </c>
      <c r="I68" t="s">
        <v>978</v>
      </c>
      <c r="J68" t="s">
        <v>979</v>
      </c>
      <c r="K68" t="str">
        <f t="shared" si="14"/>
        <v>AGAGACAGGAGCCTTCGGTGAGCGTCCTCTGTGGACATAGAGTTCAGTGCCTCCCCTCCCCAGGGCCGGCCCATTTCACCCTGGTTTCTGGGAGGCTGGGGCTTGGGGGTTGAGCCCTGTGTGCCACCTGCTGGAGGTAGGAGGATAGGCCAGG</v>
      </c>
      <c r="L68" t="str">
        <f t="shared" si="15"/>
        <v>CGGTG</v>
      </c>
      <c r="M68" t="str">
        <f t="shared" si="16"/>
        <v>CGTCC</v>
      </c>
      <c r="N68">
        <f t="shared" si="17"/>
        <v>154</v>
      </c>
      <c r="O68">
        <f t="shared" si="18"/>
        <v>2</v>
      </c>
      <c r="P68" t="str">
        <f t="shared" si="19"/>
        <v>AGAGACAGGAGCCTTCGGTGAGCGTCCTCTGTGGACATAGAG</v>
      </c>
    </row>
    <row r="69" spans="1:16" x14ac:dyDescent="0.25">
      <c r="A69">
        <v>2056224</v>
      </c>
      <c r="B69" t="s">
        <v>15</v>
      </c>
      <c r="C69" t="s">
        <v>110</v>
      </c>
      <c r="E69">
        <f t="shared" si="12"/>
        <v>9</v>
      </c>
      <c r="F69" t="str">
        <f t="shared" si="13"/>
        <v>2056224_chr16:2056249-2056250:T&gt;C</v>
      </c>
      <c r="G69" t="s">
        <v>987</v>
      </c>
      <c r="H69" t="s">
        <v>595</v>
      </c>
      <c r="I69" t="s">
        <v>978</v>
      </c>
      <c r="J69" t="s">
        <v>979</v>
      </c>
      <c r="K69" t="str">
        <f t="shared" si="14"/>
        <v>AGAGACAGGAGCCTTCGGTGGCCGTCCTCTGTGGACATAGAGGTCAGCGCCTCCCCTCCCCAGGGCCGGCCCATTTCACCCTGGTTTCTGGGAGGCTGGGGCTTGGGGGTTGAGCCCTGTGTGCCACCTGCTGGAGGTAGGAGGATAGGCCAGG</v>
      </c>
      <c r="L69" t="str">
        <f t="shared" si="15"/>
        <v>CGGTG</v>
      </c>
      <c r="M69" t="str">
        <f t="shared" si="16"/>
        <v>CGTCC</v>
      </c>
      <c r="N69">
        <f t="shared" si="17"/>
        <v>154</v>
      </c>
      <c r="O69">
        <f t="shared" si="18"/>
        <v>2</v>
      </c>
      <c r="P69" t="str">
        <f t="shared" si="19"/>
        <v>AGAGACAGGAGCCTTCGGTGGCCGTCCTCTGTGGACATAGAG</v>
      </c>
    </row>
    <row r="70" spans="1:16" x14ac:dyDescent="0.25">
      <c r="A70">
        <v>2056224</v>
      </c>
      <c r="B70" t="s">
        <v>15</v>
      </c>
      <c r="C70" t="s">
        <v>111</v>
      </c>
      <c r="E70">
        <f t="shared" si="12"/>
        <v>9</v>
      </c>
      <c r="F70" t="str">
        <f t="shared" si="13"/>
        <v>2056224_chr16:2056252-2056253:C&gt;T</v>
      </c>
      <c r="G70" t="s">
        <v>988</v>
      </c>
      <c r="H70" t="s">
        <v>596</v>
      </c>
      <c r="I70" t="s">
        <v>978</v>
      </c>
      <c r="J70" t="s">
        <v>979</v>
      </c>
      <c r="K70" t="str">
        <f t="shared" si="14"/>
        <v>AGAGACAGGAGCCTTCGGTGACCGTCCTCTGTGGACATAGAGGTCAGTGCTTCCCCTCCCCAGGGCCGGCCCATTTCACCCTGGTTTCTGGGAGGCTGGGGCTTGGGGGTTGAGCCCTGTGTGCCACCTGCTGGAGGTAGGAGGATAGGCCAGG</v>
      </c>
      <c r="L70" t="str">
        <f t="shared" si="15"/>
        <v>CGGTG</v>
      </c>
      <c r="M70" t="str">
        <f t="shared" si="16"/>
        <v>CGTCC</v>
      </c>
      <c r="N70">
        <f t="shared" si="17"/>
        <v>154</v>
      </c>
      <c r="O70">
        <f t="shared" si="18"/>
        <v>2</v>
      </c>
      <c r="P70" t="str">
        <f t="shared" si="19"/>
        <v>AGAGACAGGAGCCTTCGGTGACCGTCCTCTGTGGACATAGAG</v>
      </c>
    </row>
    <row r="71" spans="1:16" x14ac:dyDescent="0.25">
      <c r="A71">
        <v>2056224</v>
      </c>
      <c r="B71" t="s">
        <v>15</v>
      </c>
      <c r="C71" t="s">
        <v>112</v>
      </c>
      <c r="E71">
        <f t="shared" si="12"/>
        <v>9</v>
      </c>
      <c r="F71" t="str">
        <f t="shared" si="13"/>
        <v>2056224_chr16:2056257-2056258:C&gt;T</v>
      </c>
      <c r="G71" t="s">
        <v>989</v>
      </c>
      <c r="H71" t="s">
        <v>597</v>
      </c>
      <c r="I71" t="s">
        <v>978</v>
      </c>
      <c r="J71" t="s">
        <v>979</v>
      </c>
      <c r="K71" t="str">
        <f t="shared" si="14"/>
        <v>AGAGACAGGAGCCTTCGGTGCGCGTCCTCTGTGGACATAGAGGTCAGTGCCTCCCTTCCCCAGGGCCGGCCCATTTCACCCTGGTTTCTGGGAGGCTGGGGCTTGGGGGTTGAGCCCTGTGTGCCACCTGCTGGAGGTAGGAGGATAGGCCAGG</v>
      </c>
      <c r="L71" t="str">
        <f t="shared" si="15"/>
        <v>CGGTG</v>
      </c>
      <c r="M71" t="str">
        <f t="shared" si="16"/>
        <v>CGTCC</v>
      </c>
      <c r="N71">
        <f t="shared" si="17"/>
        <v>154</v>
      </c>
      <c r="O71">
        <f t="shared" si="18"/>
        <v>2</v>
      </c>
      <c r="P71" t="str">
        <f t="shared" si="19"/>
        <v>AGAGACAGGAGCCTTCGGTGCGCGTCCTCTGTGGACATAGAG</v>
      </c>
    </row>
    <row r="72" spans="1:16" x14ac:dyDescent="0.25">
      <c r="A72">
        <v>2056224</v>
      </c>
      <c r="B72" t="s">
        <v>15</v>
      </c>
      <c r="C72" t="s">
        <v>113</v>
      </c>
      <c r="E72">
        <f t="shared" si="12"/>
        <v>9</v>
      </c>
      <c r="F72" t="str">
        <f t="shared" si="13"/>
        <v>2056224_chr16:2056260-2056261:C&gt;A</v>
      </c>
      <c r="G72" t="s">
        <v>990</v>
      </c>
      <c r="H72" t="s">
        <v>598</v>
      </c>
      <c r="I72" t="s">
        <v>978</v>
      </c>
      <c r="J72" t="s">
        <v>979</v>
      </c>
      <c r="K72" t="str">
        <f t="shared" si="14"/>
        <v>AGAGACAGGAGCCTTCGGTGGTCGTCCTCTGTGGACATAGAGGTCAGTGCCTCCCCTCACCAGGGCCGGCCCATTTCACCCTGGTTTCTGGGAGGCTGGGGCTTGGGGGTTGAGCCCTGTGTGCCACCTGCTGGAGGTAGGAGGATAGGCCAGG</v>
      </c>
      <c r="L72" t="str">
        <f t="shared" si="15"/>
        <v>CGGTG</v>
      </c>
      <c r="M72" t="str">
        <f t="shared" si="16"/>
        <v>CGTCC</v>
      </c>
      <c r="N72">
        <f t="shared" si="17"/>
        <v>154</v>
      </c>
      <c r="O72">
        <f t="shared" si="18"/>
        <v>2</v>
      </c>
      <c r="P72" t="str">
        <f t="shared" si="19"/>
        <v>AGAGACAGGAGCCTTCGGTGGTCGTCCTCTGTGGACATAGAG</v>
      </c>
    </row>
    <row r="73" spans="1:16" x14ac:dyDescent="0.25">
      <c r="A73">
        <v>2056224</v>
      </c>
      <c r="B73" t="s">
        <v>15</v>
      </c>
      <c r="C73" t="s">
        <v>114</v>
      </c>
      <c r="E73">
        <f t="shared" si="12"/>
        <v>9</v>
      </c>
      <c r="F73" t="str">
        <f t="shared" si="13"/>
        <v>2056224_chr16:2056262-2056263:C&gt;T</v>
      </c>
      <c r="G73" t="s">
        <v>991</v>
      </c>
      <c r="H73" t="s">
        <v>599</v>
      </c>
      <c r="I73" t="s">
        <v>978</v>
      </c>
      <c r="J73" t="s">
        <v>979</v>
      </c>
      <c r="K73" t="str">
        <f t="shared" si="14"/>
        <v>AGAGACAGGAGCCTTCGGTGGACGTCCTCTGTGGACATAGAGGTCAGTGCCTCCCCTCCCTAGGGCCGGCCCATTTCACCCTGGTTTCTGGGAGGCTGGGGCTTGGGGGTTGAGCCCTGTGTGCCACCTGCTGGAGGTAGGAGGATAGGCCAGG</v>
      </c>
      <c r="L73" t="str">
        <f t="shared" si="15"/>
        <v>CGGTG</v>
      </c>
      <c r="M73" t="str">
        <f t="shared" si="16"/>
        <v>CGTCC</v>
      </c>
      <c r="N73">
        <f t="shared" si="17"/>
        <v>154</v>
      </c>
      <c r="O73">
        <f t="shared" si="18"/>
        <v>2</v>
      </c>
      <c r="P73" t="str">
        <f t="shared" si="19"/>
        <v>AGAGACAGGAGCCTTCGGTGGACGTCCTCTGTGGACATAGAG</v>
      </c>
    </row>
    <row r="74" spans="1:16" x14ac:dyDescent="0.25">
      <c r="A74">
        <v>2056749</v>
      </c>
      <c r="B74" t="s">
        <v>16</v>
      </c>
      <c r="C74" t="s">
        <v>115</v>
      </c>
      <c r="D74" t="s">
        <v>534</v>
      </c>
      <c r="E74">
        <f t="shared" si="12"/>
        <v>10</v>
      </c>
      <c r="F74" t="str">
        <f>(A74&amp;"_"&amp;D74)</f>
        <v>2056749_wt</v>
      </c>
      <c r="G74" t="s">
        <v>1096</v>
      </c>
      <c r="H74" t="s">
        <v>500</v>
      </c>
      <c r="I74" t="s">
        <v>978</v>
      </c>
      <c r="J74" t="s">
        <v>979</v>
      </c>
      <c r="K74" t="str">
        <f t="shared" si="14"/>
        <v>AGAGACAGGAGCCTTCGGTGCACTCTGCGAGCCTTGCTGGAAGGTGGGGTTTCTGAAACTGCTCTGGAAGGTTCCTGAGAGCACATGGATGGGACAAGGGCCATCCTGTCTCCCATGAATGGTTGTCTGATTCTTAGGTAGGAGGATAGGCCAGG</v>
      </c>
      <c r="L74" t="str">
        <f t="shared" si="15"/>
        <v>CGGTG</v>
      </c>
      <c r="M74" t="str">
        <f t="shared" si="16"/>
        <v>TCTGC</v>
      </c>
      <c r="N74">
        <f t="shared" si="17"/>
        <v>155</v>
      </c>
      <c r="O74">
        <f t="shared" si="18"/>
        <v>3</v>
      </c>
      <c r="P74" t="str">
        <f>LEFT(K74,43)</f>
        <v>AGAGACAGGAGCCTTCGGTGCACTCTGCGAGCCTTGCTGGAAG</v>
      </c>
    </row>
    <row r="75" spans="1:16" x14ac:dyDescent="0.25">
      <c r="A75">
        <v>2056749</v>
      </c>
      <c r="B75" t="s">
        <v>16</v>
      </c>
      <c r="C75" t="s">
        <v>115</v>
      </c>
      <c r="E75">
        <f t="shared" si="12"/>
        <v>10</v>
      </c>
      <c r="F75" t="str">
        <f t="shared" ref="F75:F83" si="20">(A75&amp;"_"&amp;C75)</f>
        <v>2056749_chr16:2056769-2056770:G&gt;A</v>
      </c>
      <c r="G75" t="s">
        <v>1064</v>
      </c>
      <c r="H75" t="s">
        <v>600</v>
      </c>
      <c r="I75" t="s">
        <v>978</v>
      </c>
      <c r="J75" t="s">
        <v>979</v>
      </c>
      <c r="K75" t="str">
        <f t="shared" si="14"/>
        <v>AGAGACAGGAGCCTTCGGTGATCTCTGCGAGCCTTGCTGGAAGATGGGGTTTCTGAAACTGCTCTGGAAGGTTCCTGAGAGCACATGGATGGGACAAGGGCCATCCTGTCTCCCATGAATGGTTGTCTGATTCTTAGGTAGGAGGATAGGCCAGG</v>
      </c>
      <c r="L75" t="str">
        <f t="shared" si="15"/>
        <v>CGGTG</v>
      </c>
      <c r="M75" t="str">
        <f t="shared" si="16"/>
        <v>TCTGC</v>
      </c>
      <c r="N75">
        <f t="shared" si="17"/>
        <v>155</v>
      </c>
      <c r="O75">
        <f t="shared" si="18"/>
        <v>3</v>
      </c>
      <c r="P75" t="str">
        <f t="shared" ref="P75:P83" si="21">LEFT(K75,43)</f>
        <v>AGAGACAGGAGCCTTCGGTGATCTCTGCGAGCCTTGCTGGAAG</v>
      </c>
    </row>
    <row r="76" spans="1:16" x14ac:dyDescent="0.25">
      <c r="A76">
        <v>2056749</v>
      </c>
      <c r="B76" t="s">
        <v>16</v>
      </c>
      <c r="C76" t="s">
        <v>116</v>
      </c>
      <c r="E76">
        <f t="shared" si="12"/>
        <v>10</v>
      </c>
      <c r="F76" t="str">
        <f t="shared" si="20"/>
        <v>2056749_chr16:2056769-2056770:G&gt;C</v>
      </c>
      <c r="G76" t="s">
        <v>1097</v>
      </c>
      <c r="H76" t="s">
        <v>601</v>
      </c>
      <c r="I76" t="s">
        <v>978</v>
      </c>
      <c r="J76" t="s">
        <v>979</v>
      </c>
      <c r="K76" t="str">
        <f t="shared" si="14"/>
        <v>AGAGACAGGAGCCTTCGGTGTGCTCTGCGAGCCTTGCTGGAAGCTGGGGTTTCTGAAACTGCTCTGGAAGGTTCCTGAGAGCACATGGATGGGACAAGGGCCATCCTGTCTCCCATGAATGGTTGTCTGATTCTTAGGTAGGAGGATAGGCCAGG</v>
      </c>
      <c r="L76" t="str">
        <f t="shared" si="15"/>
        <v>CGGTG</v>
      </c>
      <c r="M76" t="str">
        <f t="shared" si="16"/>
        <v>TCTGC</v>
      </c>
      <c r="N76">
        <f t="shared" si="17"/>
        <v>155</v>
      </c>
      <c r="O76">
        <f t="shared" si="18"/>
        <v>3</v>
      </c>
      <c r="P76" t="str">
        <f t="shared" si="21"/>
        <v>AGAGACAGGAGCCTTCGGTGTGCTCTGCGAGCCTTGCTGGAAG</v>
      </c>
    </row>
    <row r="77" spans="1:16" x14ac:dyDescent="0.25">
      <c r="A77">
        <v>2056749</v>
      </c>
      <c r="B77" t="s">
        <v>16</v>
      </c>
      <c r="C77" t="s">
        <v>117</v>
      </c>
      <c r="E77">
        <f t="shared" si="12"/>
        <v>10</v>
      </c>
      <c r="F77" t="str">
        <f t="shared" si="20"/>
        <v>2056749_chr16:2056769-2056770:G&gt;T</v>
      </c>
      <c r="G77" s="4" t="s">
        <v>1073</v>
      </c>
      <c r="H77" t="s">
        <v>602</v>
      </c>
      <c r="I77" t="s">
        <v>978</v>
      </c>
      <c r="J77" t="s">
        <v>979</v>
      </c>
      <c r="K77" t="str">
        <f t="shared" si="14"/>
        <v>AGAGACAGGAGCCTTCGGTGAGCTCTGCGAGCCTTGCTGGAAGTTGGGGTTTCTGAAACTGCTCTGGAAGGTTCCTGAGAGCACATGGATGGGACAAGGGCCATCCTGTCTCCCATGAATGGTTGTCTGATTCTTAGGTAGGAGGATAGGCCAGG</v>
      </c>
      <c r="L77" t="str">
        <f t="shared" si="15"/>
        <v>CGGTG</v>
      </c>
      <c r="M77" t="str">
        <f t="shared" si="16"/>
        <v>TCTGC</v>
      </c>
      <c r="N77">
        <f t="shared" si="17"/>
        <v>155</v>
      </c>
      <c r="O77">
        <f t="shared" si="18"/>
        <v>3</v>
      </c>
      <c r="P77" t="str">
        <f t="shared" si="21"/>
        <v>AGAGACAGGAGCCTTCGGTGAGCTCTGCGAGCCTTGCTGGAAG</v>
      </c>
    </row>
    <row r="78" spans="1:16" x14ac:dyDescent="0.25">
      <c r="A78">
        <v>2056749</v>
      </c>
      <c r="B78" t="s">
        <v>16</v>
      </c>
      <c r="C78" t="s">
        <v>118</v>
      </c>
      <c r="E78">
        <f t="shared" si="12"/>
        <v>10</v>
      </c>
      <c r="F78" t="str">
        <f t="shared" si="20"/>
        <v>2056749_chr16:2056770-2056771:T&gt;A</v>
      </c>
      <c r="G78" t="s">
        <v>1098</v>
      </c>
      <c r="H78" t="s">
        <v>603</v>
      </c>
      <c r="I78" t="s">
        <v>978</v>
      </c>
      <c r="J78" t="s">
        <v>979</v>
      </c>
      <c r="K78" t="str">
        <f t="shared" si="14"/>
        <v>AGAGACAGGAGCCTTCGGTGGCCTCTGCGAGCCTTGCTGGAAGGAGGGGTTTCTGAAACTGCTCTGGAAGGTTCCTGAGAGCACATGGATGGGACAAGGGCCATCCTGTCTCCCATGAATGGTTGTCTGATTCTTAGGTAGGAGGATAGGCCAGG</v>
      </c>
      <c r="L78" t="str">
        <f t="shared" si="15"/>
        <v>CGGTG</v>
      </c>
      <c r="M78" t="str">
        <f t="shared" si="16"/>
        <v>TCTGC</v>
      </c>
      <c r="N78">
        <f t="shared" si="17"/>
        <v>155</v>
      </c>
      <c r="O78">
        <f t="shared" si="18"/>
        <v>3</v>
      </c>
      <c r="P78" t="str">
        <f t="shared" si="21"/>
        <v>AGAGACAGGAGCCTTCGGTGGCCTCTGCGAGCCTTGCTGGAAG</v>
      </c>
    </row>
    <row r="79" spans="1:16" x14ac:dyDescent="0.25">
      <c r="A79">
        <v>2056749</v>
      </c>
      <c r="B79" t="s">
        <v>16</v>
      </c>
      <c r="C79" t="s">
        <v>119</v>
      </c>
      <c r="E79">
        <f t="shared" si="12"/>
        <v>10</v>
      </c>
      <c r="F79" t="str">
        <f t="shared" si="20"/>
        <v>2056749_chr16:2056770-2056771:T&gt;G</v>
      </c>
      <c r="G79" t="s">
        <v>1099</v>
      </c>
      <c r="H79" t="s">
        <v>604</v>
      </c>
      <c r="I79" t="s">
        <v>980</v>
      </c>
      <c r="J79" t="s">
        <v>979</v>
      </c>
      <c r="K79" t="str">
        <f t="shared" si="14"/>
        <v>AGAGACAGGAGCCTTCGGTGACCTCTGCGAGCCTTGCTGGAAGGGGGGGTTTCTGAAACTGCTCTGGAAGGTTCCTGAGAGCACATGGATGGGACAAGGGCCATCCTGTCTCCCATGAATGGTTGTCTGATTCTTAGGTAGGAGGATAGGCCAGG</v>
      </c>
      <c r="L79" t="str">
        <f t="shared" si="15"/>
        <v>CGGTG</v>
      </c>
      <c r="M79" t="str">
        <f t="shared" si="16"/>
        <v>TCTGC</v>
      </c>
      <c r="N79">
        <f t="shared" si="17"/>
        <v>155</v>
      </c>
      <c r="O79">
        <f t="shared" si="18"/>
        <v>3</v>
      </c>
      <c r="P79" t="str">
        <f t="shared" si="21"/>
        <v>AGAGACAGGAGCCTTCGGTGACCTCTGCGAGCCTTGCTGGAAG</v>
      </c>
    </row>
    <row r="80" spans="1:16" x14ac:dyDescent="0.25">
      <c r="A80">
        <v>2056749</v>
      </c>
      <c r="B80" t="s">
        <v>16</v>
      </c>
      <c r="C80" t="s">
        <v>120</v>
      </c>
      <c r="E80">
        <f t="shared" si="12"/>
        <v>10</v>
      </c>
      <c r="F80" t="str">
        <f t="shared" si="20"/>
        <v>2056749_chr16:2056772-2056773:G&gt;A</v>
      </c>
      <c r="G80" t="s">
        <v>1100</v>
      </c>
      <c r="H80" t="s">
        <v>605</v>
      </c>
      <c r="I80" t="s">
        <v>978</v>
      </c>
      <c r="J80" t="s">
        <v>979</v>
      </c>
      <c r="K80" t="str">
        <f t="shared" si="14"/>
        <v>AGAGACAGGAGCCTTCGGTGCGCTCTGCGAGCCTTGCTGGAAGGTGAGGTTTCTGAAACTGCTCTGGAAGGTTCCTGAGAGCACATGGATGGGACAAGGGCCATCCTGTCTCCCATGAATGGTTGTCTGATTCTTAGGTAGGAGGATAGGCCAGG</v>
      </c>
      <c r="L80" t="str">
        <f t="shared" si="15"/>
        <v>CGGTG</v>
      </c>
      <c r="M80" t="str">
        <f t="shared" si="16"/>
        <v>TCTGC</v>
      </c>
      <c r="N80">
        <f t="shared" si="17"/>
        <v>155</v>
      </c>
      <c r="O80">
        <f t="shared" si="18"/>
        <v>3</v>
      </c>
      <c r="P80" t="str">
        <f t="shared" si="21"/>
        <v>AGAGACAGGAGCCTTCGGTGCGCTCTGCGAGCCTTGCTGGAAG</v>
      </c>
    </row>
    <row r="81" spans="1:16" x14ac:dyDescent="0.25">
      <c r="A81">
        <v>2056749</v>
      </c>
      <c r="B81" t="s">
        <v>16</v>
      </c>
      <c r="C81" t="s">
        <v>121</v>
      </c>
      <c r="E81">
        <f t="shared" si="12"/>
        <v>10</v>
      </c>
      <c r="F81" t="str">
        <f t="shared" si="20"/>
        <v>2056749_chr16:2056792-2056793:G&gt;T</v>
      </c>
      <c r="G81" t="s">
        <v>1101</v>
      </c>
      <c r="H81" t="s">
        <v>606</v>
      </c>
      <c r="I81" t="s">
        <v>978</v>
      </c>
      <c r="J81" t="s">
        <v>981</v>
      </c>
      <c r="K81" t="str">
        <f t="shared" si="14"/>
        <v>AGAGACAGGAGCCTTCGGTGGTCTCTGCGAGCCTTGCTGGAAGGTGGGGTTTCTGAAACTGCTCTGTAAGGTTCCTGAGAGCACATGGATGGGACAAGGGCCATCCTGTCTCCCATGAATGGTTGTCTGATTCTTAGGTAGGAGGATAGGCCAGG</v>
      </c>
      <c r="L81" t="str">
        <f t="shared" si="15"/>
        <v>CGGTG</v>
      </c>
      <c r="M81" t="str">
        <f t="shared" si="16"/>
        <v>TCTGC</v>
      </c>
      <c r="N81">
        <f t="shared" si="17"/>
        <v>155</v>
      </c>
      <c r="O81">
        <f t="shared" si="18"/>
        <v>3</v>
      </c>
      <c r="P81" t="str">
        <f t="shared" si="21"/>
        <v>AGAGACAGGAGCCTTCGGTGGTCTCTGCGAGCCTTGCTGGAAG</v>
      </c>
    </row>
    <row r="82" spans="1:16" x14ac:dyDescent="0.25">
      <c r="A82">
        <v>2056749</v>
      </c>
      <c r="B82" t="s">
        <v>16</v>
      </c>
      <c r="C82" t="s">
        <v>122</v>
      </c>
      <c r="E82">
        <f t="shared" si="12"/>
        <v>10</v>
      </c>
      <c r="F82" t="str">
        <f t="shared" si="20"/>
        <v>2056749_chr16:2056796-2056797:G&gt;C</v>
      </c>
      <c r="G82" t="s">
        <v>1102</v>
      </c>
      <c r="H82" t="s">
        <v>607</v>
      </c>
      <c r="I82" t="s">
        <v>978</v>
      </c>
      <c r="J82" t="s">
        <v>979</v>
      </c>
      <c r="K82" t="str">
        <f t="shared" si="14"/>
        <v>AGAGACAGGAGCCTTCGGTGGACTCTGCGAGCCTTGCTGGAAGGTGGGGTTTCTGAAACTGCTCTGGAAGCTTCCTGAGAGCACATGGATGGGACAAGGGCCATCCTGTCTCCCATGAATGGTTGTCTGATTCTTAGGTAGGAGGATAGGCCAGG</v>
      </c>
      <c r="L82" t="str">
        <f t="shared" si="15"/>
        <v>CGGTG</v>
      </c>
      <c r="M82" t="str">
        <f t="shared" si="16"/>
        <v>TCTGC</v>
      </c>
      <c r="N82">
        <f t="shared" si="17"/>
        <v>155</v>
      </c>
      <c r="O82">
        <f t="shared" si="18"/>
        <v>3</v>
      </c>
      <c r="P82" t="str">
        <f t="shared" si="21"/>
        <v>AGAGACAGGAGCCTTCGGTGGACTCTGCGAGCCTTGCTGGAAG</v>
      </c>
    </row>
    <row r="83" spans="1:16" x14ac:dyDescent="0.25">
      <c r="A83">
        <v>2056749</v>
      </c>
      <c r="B83" t="s">
        <v>16</v>
      </c>
      <c r="C83" t="s">
        <v>123</v>
      </c>
      <c r="E83">
        <f t="shared" si="12"/>
        <v>10</v>
      </c>
      <c r="F83" t="str">
        <f t="shared" si="20"/>
        <v>2056749_chr16:2056823-2056824:G&gt;A</v>
      </c>
      <c r="G83" t="s">
        <v>1103</v>
      </c>
      <c r="H83" t="s">
        <v>608</v>
      </c>
      <c r="I83" t="s">
        <v>978</v>
      </c>
      <c r="J83" t="s">
        <v>981</v>
      </c>
      <c r="K83" t="str">
        <f t="shared" si="14"/>
        <v>AGAGACAGGAGCCTTCGGTGTCCTCTGCGAGCCTTGCTGGAAGGTGGGGTTTCTGAAACTGCTCTGGAAGGTTCCTGAGAGCACATGGATGGGACAAAGGCCATCCTGTCTCCCATGAATGGTTGTCTGATTCTTAGGTAGGAGGATAGGCCAGG</v>
      </c>
      <c r="L83" t="str">
        <f t="shared" si="15"/>
        <v>CGGTG</v>
      </c>
      <c r="M83" t="str">
        <f t="shared" si="16"/>
        <v>TCTGC</v>
      </c>
      <c r="N83">
        <f t="shared" si="17"/>
        <v>155</v>
      </c>
      <c r="O83">
        <f t="shared" si="18"/>
        <v>3</v>
      </c>
      <c r="P83" t="str">
        <f t="shared" si="21"/>
        <v>AGAGACAGGAGCCTTCGGTGTCCTCTGCGAGCCTTGCTGGAAG</v>
      </c>
    </row>
    <row r="84" spans="1:16" x14ac:dyDescent="0.25">
      <c r="A84">
        <v>2057158</v>
      </c>
      <c r="B84" t="s">
        <v>17</v>
      </c>
      <c r="C84" t="s">
        <v>124</v>
      </c>
      <c r="D84" t="s">
        <v>534</v>
      </c>
      <c r="E84">
        <f t="shared" si="12"/>
        <v>13</v>
      </c>
      <c r="F84" t="str">
        <f>(A84&amp;"_"&amp;D84)</f>
        <v>2057158_wt</v>
      </c>
      <c r="G84" t="s">
        <v>982</v>
      </c>
      <c r="H84" t="s">
        <v>501</v>
      </c>
      <c r="I84" t="s">
        <v>980</v>
      </c>
      <c r="J84" t="s">
        <v>979</v>
      </c>
      <c r="K84" t="str">
        <f t="shared" si="14"/>
        <v>AGAGACAGGAGCCTTCGGTGTATGCCACCTCATGGAGGACAGGTGAGTGTGGTGGGTGGGGCGCAGGGCAGTGGAGGCCAGCACAGCCCTCGGGGCAGCTCCAGTGTCCCTTGCCAAGCACACACTGGCTTAGAAGGTAGGAGGATAGGCCAGG</v>
      </c>
      <c r="L84" t="str">
        <f t="shared" si="15"/>
        <v>CGGTG</v>
      </c>
      <c r="M84" t="str">
        <f t="shared" si="16"/>
        <v>TGCCA</v>
      </c>
      <c r="N84">
        <f t="shared" si="17"/>
        <v>154</v>
      </c>
      <c r="O84">
        <f t="shared" si="18"/>
        <v>2</v>
      </c>
      <c r="P84" t="str">
        <f t="shared" ref="P84:P96" si="22">LEFT(K84,42)</f>
        <v>AGAGACAGGAGCCTTCGGTGTATGCCACCTCATGGAGGACAG</v>
      </c>
    </row>
    <row r="85" spans="1:16" x14ac:dyDescent="0.25">
      <c r="A85">
        <v>2057158</v>
      </c>
      <c r="B85" t="s">
        <v>17</v>
      </c>
      <c r="C85" t="s">
        <v>124</v>
      </c>
      <c r="E85">
        <f t="shared" si="12"/>
        <v>13</v>
      </c>
      <c r="F85" t="str">
        <f t="shared" ref="F85:F96" si="23">(A85&amp;"_"&amp;C85)</f>
        <v>2057158_chr16:2057178-2057179:G&gt;A</v>
      </c>
      <c r="G85" t="s">
        <v>983</v>
      </c>
      <c r="H85" t="s">
        <v>609</v>
      </c>
      <c r="I85" t="s">
        <v>978</v>
      </c>
      <c r="J85" t="s">
        <v>979</v>
      </c>
      <c r="K85" t="str">
        <f t="shared" si="14"/>
        <v>AGAGACAGGAGCCTTCGGTGAGTGCCACCTCATGGAGGACAGATGAGTGTGGTGGGTGGGGCGCAGGGCAGTGGAGGCCAGCACAGCCCTCGGGGCAGCTCCAGTGTCCCTTGCCAAGCACACACTGGCTTAGAAGGTAGGAGGATAGGCCAGG</v>
      </c>
      <c r="L85" t="str">
        <f t="shared" si="15"/>
        <v>CGGTG</v>
      </c>
      <c r="M85" t="str">
        <f t="shared" si="16"/>
        <v>TGCCA</v>
      </c>
      <c r="N85">
        <f t="shared" si="17"/>
        <v>154</v>
      </c>
      <c r="O85">
        <f t="shared" si="18"/>
        <v>2</v>
      </c>
      <c r="P85" t="str">
        <f t="shared" si="22"/>
        <v>AGAGACAGGAGCCTTCGGTGAGTGCCACCTCATGGAGGACAG</v>
      </c>
    </row>
    <row r="86" spans="1:16" x14ac:dyDescent="0.25">
      <c r="A86">
        <v>2057158</v>
      </c>
      <c r="B86" t="s">
        <v>17</v>
      </c>
      <c r="C86" t="s">
        <v>125</v>
      </c>
      <c r="E86">
        <f t="shared" si="12"/>
        <v>13</v>
      </c>
      <c r="F86" t="str">
        <f t="shared" si="23"/>
        <v>2057158_chr16:2057178-2057179:G&gt;C</v>
      </c>
      <c r="G86" t="s">
        <v>984</v>
      </c>
      <c r="H86" t="s">
        <v>610</v>
      </c>
      <c r="I86" t="s">
        <v>978</v>
      </c>
      <c r="J86" t="s">
        <v>979</v>
      </c>
      <c r="K86" t="str">
        <f t="shared" si="14"/>
        <v>AGAGACAGGAGCCTTCGGTGCATGCCACCTCATGGAGGACAGCTGAGTGTGGTGGGTGGGGCGCAGGGCAGTGGAGGCCAGCACAGCCCTCGGGGCAGCTCCAGTGTCCCTTGCCAAGCACACACTGGCTTAGAAGGTAGGAGGATAGGCCAGG</v>
      </c>
      <c r="L86" t="str">
        <f t="shared" si="15"/>
        <v>CGGTG</v>
      </c>
      <c r="M86" t="str">
        <f t="shared" si="16"/>
        <v>TGCCA</v>
      </c>
      <c r="N86">
        <f t="shared" si="17"/>
        <v>154</v>
      </c>
      <c r="O86">
        <f t="shared" si="18"/>
        <v>2</v>
      </c>
      <c r="P86" t="str">
        <f t="shared" si="22"/>
        <v>AGAGACAGGAGCCTTCGGTGCATGCCACCTCATGGAGGACAG</v>
      </c>
    </row>
    <row r="87" spans="1:16" x14ac:dyDescent="0.25">
      <c r="A87">
        <v>2057158</v>
      </c>
      <c r="B87" t="s">
        <v>17</v>
      </c>
      <c r="C87" t="s">
        <v>126</v>
      </c>
      <c r="E87">
        <f t="shared" si="12"/>
        <v>13</v>
      </c>
      <c r="F87" t="str">
        <f t="shared" si="23"/>
        <v>2057158_chr16:2057178-2057179:G&gt;T</v>
      </c>
      <c r="G87" t="s">
        <v>985</v>
      </c>
      <c r="H87" t="s">
        <v>611</v>
      </c>
      <c r="I87" t="s">
        <v>978</v>
      </c>
      <c r="J87" t="s">
        <v>979</v>
      </c>
      <c r="K87" t="str">
        <f t="shared" si="14"/>
        <v>AGAGACAGGAGCCTTCGGTGATTGCCACCTCATGGAGGACAGTTGAGTGTGGTGGGTGGGGCGCAGGGCAGTGGAGGCCAGCACAGCCCTCGGGGCAGCTCCAGTGTCCCTTGCCAAGCACACACTGGCTTAGAAGGTAGGAGGATAGGCCAGG</v>
      </c>
      <c r="L87" t="str">
        <f t="shared" si="15"/>
        <v>CGGTG</v>
      </c>
      <c r="M87" t="str">
        <f t="shared" si="16"/>
        <v>TGCCA</v>
      </c>
      <c r="N87">
        <f t="shared" si="17"/>
        <v>154</v>
      </c>
      <c r="O87">
        <f t="shared" si="18"/>
        <v>2</v>
      </c>
      <c r="P87" t="str">
        <f t="shared" si="22"/>
        <v>AGAGACAGGAGCCTTCGGTGATTGCCACCTCATGGAGGACAG</v>
      </c>
    </row>
    <row r="88" spans="1:16" x14ac:dyDescent="0.25">
      <c r="A88">
        <v>2057158</v>
      </c>
      <c r="B88" t="s">
        <v>17</v>
      </c>
      <c r="C88" t="s">
        <v>127</v>
      </c>
      <c r="E88">
        <f t="shared" si="12"/>
        <v>13</v>
      </c>
      <c r="F88" t="str">
        <f t="shared" si="23"/>
        <v>2057158_chr16:2057179-2057180:T&gt;G</v>
      </c>
      <c r="G88" s="4" t="s">
        <v>1055</v>
      </c>
      <c r="H88" t="s">
        <v>612</v>
      </c>
      <c r="I88" t="s">
        <v>978</v>
      </c>
      <c r="J88" t="s">
        <v>979</v>
      </c>
      <c r="K88" t="str">
        <f t="shared" si="14"/>
        <v>AGAGACAGGAGCCTTCGGTGAATGCCACCTCATGGAGGACAGGGGAGTGTGGTGGGTGGGGCGCAGGGCAGTGGAGGCCAGCACAGCCCTCGGGGCAGCTCCAGTGTCCCTTGCCAAGCACACACTGGCTTAGAAGGTAGGAGGATAGGCCAGG</v>
      </c>
      <c r="L88" t="str">
        <f t="shared" si="15"/>
        <v>CGGTG</v>
      </c>
      <c r="M88" t="str">
        <f t="shared" si="16"/>
        <v>TGCCA</v>
      </c>
      <c r="N88">
        <f t="shared" si="17"/>
        <v>154</v>
      </c>
      <c r="O88">
        <f t="shared" si="18"/>
        <v>2</v>
      </c>
      <c r="P88" t="str">
        <f t="shared" si="22"/>
        <v>AGAGACAGGAGCCTTCGGTGAATGCCACCTCATGGAGGACAG</v>
      </c>
    </row>
    <row r="89" spans="1:16" x14ac:dyDescent="0.25">
      <c r="A89">
        <v>2057158</v>
      </c>
      <c r="B89" t="s">
        <v>17</v>
      </c>
      <c r="C89" t="s">
        <v>128</v>
      </c>
      <c r="E89">
        <f t="shared" si="12"/>
        <v>13</v>
      </c>
      <c r="F89" t="str">
        <f t="shared" si="23"/>
        <v>2057158_chr16:2057180-2057181:G&gt;-</v>
      </c>
      <c r="G89" s="4" t="s">
        <v>1056</v>
      </c>
      <c r="H89" t="s">
        <v>613</v>
      </c>
      <c r="I89" t="s">
        <v>978</v>
      </c>
      <c r="J89" t="s">
        <v>979</v>
      </c>
      <c r="K89" t="str">
        <f t="shared" si="14"/>
        <v>AGAGACAGGAGCCTTCGGTGTTTGCCACCTCATGGAGGACAGGTAGTGTGGTGGGTGGGGCGCAGGGCAGTGGAGGCCAGCACAGCCCTCGGGGCAGCTCCAGTGTCCCTTGCCAAGCACACACTGGCTTAGAAGGTAGGAGGATAGGCCAGG</v>
      </c>
      <c r="L89" t="str">
        <f t="shared" si="15"/>
        <v>CGGTG</v>
      </c>
      <c r="M89" t="str">
        <f t="shared" si="16"/>
        <v>TGCCA</v>
      </c>
      <c r="N89">
        <f t="shared" si="17"/>
        <v>153</v>
      </c>
      <c r="O89">
        <f t="shared" si="18"/>
        <v>2</v>
      </c>
      <c r="P89" t="str">
        <f t="shared" si="22"/>
        <v>AGAGACAGGAGCCTTCGGTGTTTGCCACCTCATGGAGGACAG</v>
      </c>
    </row>
    <row r="90" spans="1:16" x14ac:dyDescent="0.25">
      <c r="A90">
        <v>2057158</v>
      </c>
      <c r="B90" t="s">
        <v>17</v>
      </c>
      <c r="C90" t="s">
        <v>129</v>
      </c>
      <c r="E90">
        <f t="shared" si="12"/>
        <v>13</v>
      </c>
      <c r="F90" t="str">
        <f t="shared" si="23"/>
        <v>2057158_chr16:2057182-2057183:G&gt;A</v>
      </c>
      <c r="G90" t="s">
        <v>987</v>
      </c>
      <c r="H90" t="s">
        <v>614</v>
      </c>
      <c r="I90" t="s">
        <v>980</v>
      </c>
      <c r="J90" t="s">
        <v>979</v>
      </c>
      <c r="K90" t="str">
        <f t="shared" si="14"/>
        <v>AGAGACAGGAGCCTTCGGTGGCTGCCACCTCATGGAGGACAGGTGAATGTGGTGGGTGGGGCGCAGGGCAGTGGAGGCCAGCACAGCCCTCGGGGCAGCTCCAGTGTCCCTTGCCAAGCACACACTGGCTTAGAAGGTAGGAGGATAGGCCAGG</v>
      </c>
      <c r="L90" t="str">
        <f t="shared" si="15"/>
        <v>CGGTG</v>
      </c>
      <c r="M90" t="str">
        <f t="shared" si="16"/>
        <v>TGCCA</v>
      </c>
      <c r="N90">
        <f t="shared" si="17"/>
        <v>154</v>
      </c>
      <c r="O90">
        <f t="shared" si="18"/>
        <v>2</v>
      </c>
      <c r="P90" t="str">
        <f t="shared" si="22"/>
        <v>AGAGACAGGAGCCTTCGGTGGCTGCCACCTCATGGAGGACAG</v>
      </c>
    </row>
    <row r="91" spans="1:16" x14ac:dyDescent="0.25">
      <c r="A91">
        <v>2057158</v>
      </c>
      <c r="B91" t="s">
        <v>17</v>
      </c>
      <c r="C91" t="s">
        <v>130</v>
      </c>
      <c r="E91">
        <f t="shared" si="12"/>
        <v>13</v>
      </c>
      <c r="F91" t="str">
        <f t="shared" si="23"/>
        <v>2057158_chr16:2057184-2057185:G&gt;A</v>
      </c>
      <c r="G91" t="s">
        <v>988</v>
      </c>
      <c r="H91" t="s">
        <v>615</v>
      </c>
      <c r="I91" t="s">
        <v>978</v>
      </c>
      <c r="J91" t="s">
        <v>979</v>
      </c>
      <c r="K91" t="str">
        <f t="shared" si="14"/>
        <v>AGAGACAGGAGCCTTCGGTGACTGCCACCTCATGGAGGACAGGTGAGTATGGTGGGTGGGGCGCAGGGCAGTGGAGGCCAGCACAGCCCTCGGGGCAGCTCCAGTGTCCCTTGCCAAGCACACACTGGCTTAGAAGGTAGGAGGATAGGCCAGG</v>
      </c>
      <c r="L91" t="str">
        <f t="shared" si="15"/>
        <v>CGGTG</v>
      </c>
      <c r="M91" t="str">
        <f t="shared" si="16"/>
        <v>TGCCA</v>
      </c>
      <c r="N91">
        <f t="shared" si="17"/>
        <v>154</v>
      </c>
      <c r="O91">
        <f t="shared" si="18"/>
        <v>2</v>
      </c>
      <c r="P91" t="str">
        <f t="shared" si="22"/>
        <v>AGAGACAGGAGCCTTCGGTGACTGCCACCTCATGGAGGACAG</v>
      </c>
    </row>
    <row r="92" spans="1:16" x14ac:dyDescent="0.25">
      <c r="A92">
        <v>2057158</v>
      </c>
      <c r="B92" t="s">
        <v>17</v>
      </c>
      <c r="C92" t="s">
        <v>131</v>
      </c>
      <c r="E92">
        <f t="shared" si="12"/>
        <v>13</v>
      </c>
      <c r="F92" t="str">
        <f t="shared" si="23"/>
        <v>2057158_chr16:2057190-2057191:G&gt;T</v>
      </c>
      <c r="G92" t="s">
        <v>989</v>
      </c>
      <c r="H92" t="s">
        <v>616</v>
      </c>
      <c r="I92" t="s">
        <v>978</v>
      </c>
      <c r="J92" t="s">
        <v>979</v>
      </c>
      <c r="K92" t="str">
        <f t="shared" si="14"/>
        <v>AGAGACAGGAGCCTTCGGTGCGTGCCACCTCATGGAGGACAGGTGAGTGTGGTGTGTGGGGCGCAGGGCAGTGGAGGCCAGCACAGCCCTCGGGGCAGCTCCAGTGTCCCTTGCCAAGCACACACTGGCTTAGAAGGTAGGAGGATAGGCCAGG</v>
      </c>
      <c r="L92" t="str">
        <f t="shared" si="15"/>
        <v>CGGTG</v>
      </c>
      <c r="M92" t="str">
        <f t="shared" si="16"/>
        <v>TGCCA</v>
      </c>
      <c r="N92">
        <f t="shared" si="17"/>
        <v>154</v>
      </c>
      <c r="O92">
        <f t="shared" si="18"/>
        <v>2</v>
      </c>
      <c r="P92" t="str">
        <f t="shared" si="22"/>
        <v>AGAGACAGGAGCCTTCGGTGCGTGCCACCTCATGGAGGACAG</v>
      </c>
    </row>
    <row r="93" spans="1:16" x14ac:dyDescent="0.25">
      <c r="A93">
        <v>2057158</v>
      </c>
      <c r="B93" t="s">
        <v>17</v>
      </c>
      <c r="C93" t="s">
        <v>132</v>
      </c>
      <c r="E93">
        <f t="shared" si="12"/>
        <v>13</v>
      </c>
      <c r="F93" t="str">
        <f t="shared" si="23"/>
        <v>2057158_chr16:2057196-2057197:G&gt;A</v>
      </c>
      <c r="G93" t="s">
        <v>990</v>
      </c>
      <c r="H93" t="s">
        <v>617</v>
      </c>
      <c r="I93" t="s">
        <v>978</v>
      </c>
      <c r="J93" t="s">
        <v>979</v>
      </c>
      <c r="K93" t="str">
        <f t="shared" si="14"/>
        <v>AGAGACAGGAGCCTTCGGTGGTTGCCACCTCATGGAGGACAGGTGAGTGTGGTGGGTGGGACGCAGGGCAGTGGAGGCCAGCACAGCCCTCGGGGCAGCTCCAGTGTCCCTTGCCAAGCACACACTGGCTTAGAAGGTAGGAGGATAGGCCAGG</v>
      </c>
      <c r="L93" t="str">
        <f t="shared" si="15"/>
        <v>CGGTG</v>
      </c>
      <c r="M93" t="str">
        <f t="shared" si="16"/>
        <v>TGCCA</v>
      </c>
      <c r="N93">
        <f t="shared" si="17"/>
        <v>154</v>
      </c>
      <c r="O93">
        <f t="shared" si="18"/>
        <v>2</v>
      </c>
      <c r="P93" t="str">
        <f t="shared" si="22"/>
        <v>AGAGACAGGAGCCTTCGGTGGTTGCCACCTCATGGAGGACAG</v>
      </c>
    </row>
    <row r="94" spans="1:16" x14ac:dyDescent="0.25">
      <c r="A94">
        <v>2057158</v>
      </c>
      <c r="B94" t="s">
        <v>17</v>
      </c>
      <c r="C94" t="s">
        <v>133</v>
      </c>
      <c r="E94">
        <f t="shared" si="12"/>
        <v>13</v>
      </c>
      <c r="F94" t="str">
        <f t="shared" si="23"/>
        <v>2057158_chr16:2057197-2057198:C&gt;T</v>
      </c>
      <c r="G94" t="s">
        <v>991</v>
      </c>
      <c r="H94" t="s">
        <v>618</v>
      </c>
      <c r="I94" t="s">
        <v>980</v>
      </c>
      <c r="J94" t="s">
        <v>979</v>
      </c>
      <c r="K94" t="str">
        <f t="shared" si="14"/>
        <v>AGAGACAGGAGCCTTCGGTGGATGCCACCTCATGGAGGACAGGTGAGTGTGGTGGGTGGGGTGCAGGGCAGTGGAGGCCAGCACAGCCCTCGGGGCAGCTCCAGTGTCCCTTGCCAAGCACACACTGGCTTAGAAGGTAGGAGGATAGGCCAGG</v>
      </c>
      <c r="L94" t="str">
        <f t="shared" si="15"/>
        <v>CGGTG</v>
      </c>
      <c r="M94" t="str">
        <f t="shared" si="16"/>
        <v>TGCCA</v>
      </c>
      <c r="N94">
        <f t="shared" si="17"/>
        <v>154</v>
      </c>
      <c r="O94">
        <f t="shared" si="18"/>
        <v>2</v>
      </c>
      <c r="P94" t="str">
        <f t="shared" si="22"/>
        <v>AGAGACAGGAGCCTTCGGTGGATGCCACCTCATGGAGGACAG</v>
      </c>
    </row>
    <row r="95" spans="1:16" x14ac:dyDescent="0.25">
      <c r="A95">
        <v>2057158</v>
      </c>
      <c r="B95" t="s">
        <v>17</v>
      </c>
      <c r="C95" t="s">
        <v>134</v>
      </c>
      <c r="E95">
        <f t="shared" si="12"/>
        <v>13</v>
      </c>
      <c r="F95" t="str">
        <f t="shared" si="23"/>
        <v>2057158_chr16:2057216-2057217:G&gt;T</v>
      </c>
      <c r="G95" t="s">
        <v>992</v>
      </c>
      <c r="H95" t="s">
        <v>619</v>
      </c>
      <c r="I95" t="s">
        <v>978</v>
      </c>
      <c r="J95" t="s">
        <v>979</v>
      </c>
      <c r="K95" t="str">
        <f t="shared" si="14"/>
        <v>AGAGACAGGAGCCTTCGGTGTCTGCCACCTCATGGAGGACAGGTGAGTGTGGTGGGTGGGGCGCAGGGCAGTGGAGGCCATCACAGCCCTCGGGGCAGCTCCAGTGTCCCTTGCCAAGCACACACTGGCTTAGAAGGTAGGAGGATAGGCCAGG</v>
      </c>
      <c r="L95" t="str">
        <f t="shared" si="15"/>
        <v>CGGTG</v>
      </c>
      <c r="M95" t="str">
        <f t="shared" si="16"/>
        <v>TGCCA</v>
      </c>
      <c r="N95">
        <f t="shared" si="17"/>
        <v>154</v>
      </c>
      <c r="O95">
        <f t="shared" si="18"/>
        <v>2</v>
      </c>
      <c r="P95" t="str">
        <f t="shared" si="22"/>
        <v>AGAGACAGGAGCCTTCGGTGTCTGCCACCTCATGGAGGACAG</v>
      </c>
    </row>
    <row r="96" spans="1:16" x14ac:dyDescent="0.25">
      <c r="A96">
        <v>2057158</v>
      </c>
      <c r="B96" t="s">
        <v>17</v>
      </c>
      <c r="C96" t="s">
        <v>135</v>
      </c>
      <c r="E96">
        <f t="shared" si="12"/>
        <v>13</v>
      </c>
      <c r="F96" t="str">
        <f t="shared" si="23"/>
        <v>2057158_chr16:2057221-2057222:G&gt;T</v>
      </c>
      <c r="G96" t="s">
        <v>1017</v>
      </c>
      <c r="H96" t="s">
        <v>620</v>
      </c>
      <c r="I96" t="s">
        <v>980</v>
      </c>
      <c r="J96" t="s">
        <v>979</v>
      </c>
      <c r="K96" t="str">
        <f t="shared" si="14"/>
        <v>AGAGACAGGAGCCTTCGGTGCCTGCCACCTCATGGAGGACAGGTGAGTGTGGTGGGTGGGGCGCAGGGCAGTGGAGGCCAGCACATCCCTCGGGGCAGCTCCAGTGTCCCTTGCCAAGCACACACTGGCTTAGAAGGTAGGAGGATAGGCCAGG</v>
      </c>
      <c r="L96" t="str">
        <f t="shared" si="15"/>
        <v>CGGTG</v>
      </c>
      <c r="M96" t="str">
        <f t="shared" si="16"/>
        <v>TGCCA</v>
      </c>
      <c r="N96">
        <f t="shared" si="17"/>
        <v>154</v>
      </c>
      <c r="O96">
        <f t="shared" si="18"/>
        <v>2</v>
      </c>
      <c r="P96" t="str">
        <f t="shared" si="22"/>
        <v>AGAGACAGGAGCCTTCGGTGCCTGCCACCTCATGGAGGACAG</v>
      </c>
    </row>
    <row r="97" spans="1:16" x14ac:dyDescent="0.25">
      <c r="A97">
        <v>2058853</v>
      </c>
      <c r="B97" t="s">
        <v>18</v>
      </c>
      <c r="C97" t="s">
        <v>136</v>
      </c>
      <c r="D97" t="s">
        <v>534</v>
      </c>
      <c r="E97">
        <f t="shared" si="12"/>
        <v>12</v>
      </c>
      <c r="F97" t="str">
        <f>(A97&amp;"_"&amp;D97)</f>
        <v>2058853_wt</v>
      </c>
      <c r="G97" s="1" t="s">
        <v>997</v>
      </c>
      <c r="H97" t="s">
        <v>502</v>
      </c>
      <c r="I97" t="s">
        <v>978</v>
      </c>
      <c r="J97" t="s">
        <v>981</v>
      </c>
      <c r="K97" t="str">
        <f t="shared" si="14"/>
        <v>AGAGACAGGAGCCTTCGGTGTGATGTTGCCATCATTTTACCAGGTAAGGCGGTTTCTGTGTGCAGTGAGCTGGCAGGAACGGGAGAGCTCCCCTCACGCCTGCCCACCCATCCCACTGGGGGTCCTGCTGCGGGGAGGTAGGAGGATAGGCCAGG</v>
      </c>
      <c r="L97" t="str">
        <f t="shared" si="15"/>
        <v>CGGTG</v>
      </c>
      <c r="M97" t="str">
        <f t="shared" si="16"/>
        <v>TGTTG</v>
      </c>
      <c r="N97">
        <f t="shared" si="17"/>
        <v>155</v>
      </c>
      <c r="O97">
        <f t="shared" si="18"/>
        <v>3</v>
      </c>
      <c r="P97" t="str">
        <f t="shared" ref="P97:P108" si="24">LEFT(K97,43)</f>
        <v>AGAGACAGGAGCCTTCGGTGTGATGTTGCCATCATTTTACCAG</v>
      </c>
    </row>
    <row r="98" spans="1:16" x14ac:dyDescent="0.25">
      <c r="A98">
        <v>2058853</v>
      </c>
      <c r="B98" t="s">
        <v>18</v>
      </c>
      <c r="C98" t="s">
        <v>136</v>
      </c>
      <c r="E98">
        <f t="shared" si="12"/>
        <v>12</v>
      </c>
      <c r="F98" t="str">
        <f t="shared" ref="F98:F108" si="25">(A98&amp;"_"&amp;C98)</f>
        <v>2058853_chr16:2058873-2058874:G&gt;-</v>
      </c>
      <c r="G98" s="1" t="s">
        <v>994</v>
      </c>
      <c r="H98" t="s">
        <v>621</v>
      </c>
      <c r="I98" t="s">
        <v>978</v>
      </c>
      <c r="J98" t="s">
        <v>979</v>
      </c>
      <c r="K98" t="str">
        <f t="shared" si="14"/>
        <v>AGAGACAGGAGCCTTCGGTGGAGTGTTGCCATCATTTTACCAGTAAGGCGGTTTCTGTGTGCAGTGAGCTGGCAGGAACGGGAGAGCTCCCCTCACGCCTGCCCACCCATCCCACTGGGGGTCCTGCTGCGGGGAGGTAGGAGGATAGGCCAGG</v>
      </c>
      <c r="L98" t="str">
        <f t="shared" si="15"/>
        <v>CGGTG</v>
      </c>
      <c r="M98" t="str">
        <f t="shared" si="16"/>
        <v>TGTTG</v>
      </c>
      <c r="N98">
        <f t="shared" si="17"/>
        <v>154</v>
      </c>
      <c r="O98">
        <f t="shared" si="18"/>
        <v>3</v>
      </c>
      <c r="P98" t="str">
        <f t="shared" si="24"/>
        <v>AGAGACAGGAGCCTTCGGTGGAGTGTTGCCATCATTTTACCAG</v>
      </c>
    </row>
    <row r="99" spans="1:16" x14ac:dyDescent="0.25">
      <c r="A99">
        <v>2058853</v>
      </c>
      <c r="B99" t="s">
        <v>18</v>
      </c>
      <c r="C99" t="s">
        <v>137</v>
      </c>
      <c r="E99">
        <f t="shared" si="12"/>
        <v>12</v>
      </c>
      <c r="F99" t="str">
        <f t="shared" si="25"/>
        <v>2058853_chr16:2058873-2058874:G&gt;A</v>
      </c>
      <c r="G99" s="1" t="s">
        <v>1004</v>
      </c>
      <c r="H99" t="s">
        <v>622</v>
      </c>
      <c r="I99" t="s">
        <v>978</v>
      </c>
      <c r="J99" t="s">
        <v>979</v>
      </c>
      <c r="K99" t="str">
        <f t="shared" si="14"/>
        <v>AGAGACAGGAGCCTTCGGTGTCGTGTTGCCATCATTTTACCAGATAAGGCGGTTTCTGTGTGCAGTGAGCTGGCAGGAACGGGAGAGCTCCCCTCACGCCTGCCCACCCATCCCACTGGGGGTCCTGCTGCGGGGAGGTAGGAGGATAGGCCAGG</v>
      </c>
      <c r="L99" t="str">
        <f t="shared" si="15"/>
        <v>CGGTG</v>
      </c>
      <c r="M99" t="str">
        <f t="shared" si="16"/>
        <v>TGTTG</v>
      </c>
      <c r="N99">
        <f t="shared" si="17"/>
        <v>155</v>
      </c>
      <c r="O99">
        <f t="shared" si="18"/>
        <v>3</v>
      </c>
      <c r="P99" t="str">
        <f t="shared" si="24"/>
        <v>AGAGACAGGAGCCTTCGGTGTCGTGTTGCCATCATTTTACCAG</v>
      </c>
    </row>
    <row r="100" spans="1:16" x14ac:dyDescent="0.25">
      <c r="A100">
        <v>2058853</v>
      </c>
      <c r="B100" t="s">
        <v>18</v>
      </c>
      <c r="C100" t="s">
        <v>138</v>
      </c>
      <c r="E100">
        <f t="shared" si="12"/>
        <v>12</v>
      </c>
      <c r="F100" t="str">
        <f t="shared" si="25"/>
        <v>2058853_chr16:2058873-2058874:G&gt;C</v>
      </c>
      <c r="G100" s="5" t="s">
        <v>1024</v>
      </c>
      <c r="H100" t="s">
        <v>623</v>
      </c>
      <c r="I100" t="s">
        <v>978</v>
      </c>
      <c r="J100" t="s">
        <v>979</v>
      </c>
      <c r="K100" t="str">
        <f t="shared" si="14"/>
        <v>AGAGACAGGAGCCTTCGGTGACGTGTTGCCATCATTTTACCAGCTAAGGCGGTTTCTGTGTGCAGTGAGCTGGCAGGAACGGGAGAGCTCCCCTCACGCCTGCCCACCCATCCCACTGGGGGTCCTGCTGCGGGGAGGTAGGAGGATAGGCCAGG</v>
      </c>
      <c r="L100" t="str">
        <f t="shared" si="15"/>
        <v>CGGTG</v>
      </c>
      <c r="M100" t="str">
        <f t="shared" si="16"/>
        <v>TGTTG</v>
      </c>
      <c r="N100">
        <f t="shared" si="17"/>
        <v>155</v>
      </c>
      <c r="O100">
        <f t="shared" si="18"/>
        <v>3</v>
      </c>
      <c r="P100" t="str">
        <f t="shared" si="24"/>
        <v>AGAGACAGGAGCCTTCGGTGACGTGTTGCCATCATTTTACCAG</v>
      </c>
    </row>
    <row r="101" spans="1:16" x14ac:dyDescent="0.25">
      <c r="A101">
        <v>2058853</v>
      </c>
      <c r="B101" t="s">
        <v>18</v>
      </c>
      <c r="C101" t="s">
        <v>139</v>
      </c>
      <c r="E101">
        <f t="shared" si="12"/>
        <v>12</v>
      </c>
      <c r="F101" t="str">
        <f t="shared" si="25"/>
        <v>2058853_chr16:2058873-2058874:G&gt;T</v>
      </c>
      <c r="G101" s="5" t="s">
        <v>1025</v>
      </c>
      <c r="H101" t="s">
        <v>624</v>
      </c>
      <c r="I101" t="s">
        <v>978</v>
      </c>
      <c r="J101" t="s">
        <v>979</v>
      </c>
      <c r="K101" t="str">
        <f t="shared" si="14"/>
        <v>AGAGACAGGAGCCTTCGGTGTCATGTTGCCATCATTTTACCAGTTAAGGCGGTTTCTGTGTGCAGTGAGCTGGCAGGAACGGGAGAGCTCCCCTCACGCCTGCCCACCCATCCCACTGGGGGTCCTGCTGCGGGGAGGTAGGAGGATAGGCCAGG</v>
      </c>
      <c r="L101" t="str">
        <f t="shared" si="15"/>
        <v>CGGTG</v>
      </c>
      <c r="M101" t="str">
        <f t="shared" si="16"/>
        <v>TGTTG</v>
      </c>
      <c r="N101">
        <f t="shared" si="17"/>
        <v>155</v>
      </c>
      <c r="O101">
        <f t="shared" si="18"/>
        <v>3</v>
      </c>
      <c r="P101" t="str">
        <f t="shared" si="24"/>
        <v>AGAGACAGGAGCCTTCGGTGTCATGTTGCCATCATTTTACCAG</v>
      </c>
    </row>
    <row r="102" spans="1:16" x14ac:dyDescent="0.25">
      <c r="A102">
        <v>2058853</v>
      </c>
      <c r="B102" t="s">
        <v>18</v>
      </c>
      <c r="C102" t="s">
        <v>140</v>
      </c>
      <c r="E102">
        <f t="shared" si="12"/>
        <v>12</v>
      </c>
      <c r="F102" t="str">
        <f t="shared" si="25"/>
        <v>2058853_chr16:2058875-2058876:A&gt;C</v>
      </c>
      <c r="G102" s="1" t="s">
        <v>1000</v>
      </c>
      <c r="H102" t="s">
        <v>625</v>
      </c>
      <c r="I102" t="s">
        <v>978</v>
      </c>
      <c r="J102" t="s">
        <v>979</v>
      </c>
      <c r="K102" t="str">
        <f t="shared" si="14"/>
        <v>AGAGACAGGAGCCTTCGGTGAGCTGTTGCCATCATTTTACCAGGTCAGGCGGTTTCTGTGTGCAGTGAGCTGGCAGGAACGGGAGAGCTCCCCTCACGCCTGCCCACCCATCCCACTGGGGGTCCTGCTGCGGGGAGGTAGGAGGATAGGCCAGG</v>
      </c>
      <c r="L102" t="str">
        <f t="shared" si="15"/>
        <v>CGGTG</v>
      </c>
      <c r="M102" t="str">
        <f t="shared" si="16"/>
        <v>TGTTG</v>
      </c>
      <c r="N102">
        <f t="shared" si="17"/>
        <v>155</v>
      </c>
      <c r="O102">
        <f t="shared" si="18"/>
        <v>3</v>
      </c>
      <c r="P102" t="str">
        <f t="shared" si="24"/>
        <v>AGAGACAGGAGCCTTCGGTGAGCTGTTGCCATCATTTTACCAG</v>
      </c>
    </row>
    <row r="103" spans="1:16" x14ac:dyDescent="0.25">
      <c r="A103">
        <v>2058853</v>
      </c>
      <c r="B103" t="s">
        <v>18</v>
      </c>
      <c r="C103" t="s">
        <v>141</v>
      </c>
      <c r="E103">
        <f t="shared" si="12"/>
        <v>12</v>
      </c>
      <c r="F103" t="str">
        <f t="shared" si="25"/>
        <v>2058853_chr16:2058877-2058878:G&gt;C</v>
      </c>
      <c r="G103" s="5" t="s">
        <v>1058</v>
      </c>
      <c r="H103" t="s">
        <v>626</v>
      </c>
      <c r="I103" t="s">
        <v>978</v>
      </c>
      <c r="J103" t="s">
        <v>979</v>
      </c>
      <c r="K103" t="str">
        <f t="shared" si="14"/>
        <v>AGAGACAGGAGCCTTCGGTGATCTGTTGCCATCATTTTACCAGGTAACGCGGTTTCTGTGTGCAGTGAGCTGGCAGGAACGGGAGAGCTCCCCTCACGCCTGCCCACCCATCCCACTGGGGGTCCTGCTGCGGGGAGGTAGGAGGATAGGCCAGG</v>
      </c>
      <c r="L103" t="str">
        <f t="shared" si="15"/>
        <v>CGGTG</v>
      </c>
      <c r="M103" t="str">
        <f t="shared" si="16"/>
        <v>TGTTG</v>
      </c>
      <c r="N103">
        <f t="shared" si="17"/>
        <v>155</v>
      </c>
      <c r="O103">
        <f t="shared" si="18"/>
        <v>3</v>
      </c>
      <c r="P103" t="str">
        <f t="shared" si="24"/>
        <v>AGAGACAGGAGCCTTCGGTGATCTGTTGCCATCATTTTACCAG</v>
      </c>
    </row>
    <row r="104" spans="1:16" x14ac:dyDescent="0.25">
      <c r="A104">
        <v>2058853</v>
      </c>
      <c r="B104" t="s">
        <v>18</v>
      </c>
      <c r="C104" t="s">
        <v>142</v>
      </c>
      <c r="E104">
        <f t="shared" si="12"/>
        <v>12</v>
      </c>
      <c r="F104" t="str">
        <f t="shared" si="25"/>
        <v>2058853_chr16:2058877-2058878:G&gt;T</v>
      </c>
      <c r="G104" s="1" t="s">
        <v>1003</v>
      </c>
      <c r="H104" t="s">
        <v>627</v>
      </c>
      <c r="I104" t="s">
        <v>978</v>
      </c>
      <c r="J104" t="s">
        <v>979</v>
      </c>
      <c r="K104" t="str">
        <f t="shared" si="14"/>
        <v>AGAGACAGGAGCCTTCGGTGGCATGTTGCCATCATTTTACCAGGTAATGCGGTTTCTGTGTGCAGTGAGCTGGCAGGAACGGGAGAGCTCCCCTCACGCCTGCCCACCCATCCCACTGGGGGTCCTGCTGCGGGGAGGTAGGAGGATAGGCCAGG</v>
      </c>
      <c r="L104" t="str">
        <f t="shared" si="15"/>
        <v>CGGTG</v>
      </c>
      <c r="M104" t="str">
        <f t="shared" si="16"/>
        <v>TGTTG</v>
      </c>
      <c r="N104">
        <f t="shared" si="17"/>
        <v>155</v>
      </c>
      <c r="O104">
        <f t="shared" si="18"/>
        <v>3</v>
      </c>
      <c r="P104" t="str">
        <f t="shared" si="24"/>
        <v>AGAGACAGGAGCCTTCGGTGGCATGTTGCCATCATTTTACCAG</v>
      </c>
    </row>
    <row r="105" spans="1:16" x14ac:dyDescent="0.25">
      <c r="A105">
        <v>2058853</v>
      </c>
      <c r="B105" t="s">
        <v>18</v>
      </c>
      <c r="C105" t="s">
        <v>143</v>
      </c>
      <c r="E105">
        <f t="shared" si="12"/>
        <v>12</v>
      </c>
      <c r="F105" t="str">
        <f t="shared" si="25"/>
        <v>2058853_chr16:2058879-2058880:C&gt;T</v>
      </c>
      <c r="G105" s="1" t="s">
        <v>1006</v>
      </c>
      <c r="H105" t="s">
        <v>628</v>
      </c>
      <c r="I105" t="s">
        <v>978</v>
      </c>
      <c r="J105" t="s">
        <v>979</v>
      </c>
      <c r="K105" t="str">
        <f t="shared" si="14"/>
        <v>AGAGACAGGAGCCTTCGGTGCGATGTTGCCATCATTTTACCAGGTAAGGTGGTTTCTGTGTGCAGTGAGCTGGCAGGAACGGGAGAGCTCCCCTCACGCCTGCCCACCCATCCCACTGGGGGTCCTGCTGCGGGGAGGTAGGAGGATAGGCCAGG</v>
      </c>
      <c r="L105" t="str">
        <f t="shared" si="15"/>
        <v>CGGTG</v>
      </c>
      <c r="M105" t="str">
        <f t="shared" si="16"/>
        <v>TGTTG</v>
      </c>
      <c r="N105">
        <f t="shared" si="17"/>
        <v>155</v>
      </c>
      <c r="O105">
        <f t="shared" si="18"/>
        <v>3</v>
      </c>
      <c r="P105" t="str">
        <f t="shared" si="24"/>
        <v>AGAGACAGGAGCCTTCGGTGCGATGTTGCCATCATTTTACCAG</v>
      </c>
    </row>
    <row r="106" spans="1:16" x14ac:dyDescent="0.25">
      <c r="A106">
        <v>2058853</v>
      </c>
      <c r="B106" t="s">
        <v>18</v>
      </c>
      <c r="C106" t="s">
        <v>144</v>
      </c>
      <c r="E106">
        <f t="shared" si="12"/>
        <v>12</v>
      </c>
      <c r="F106" t="str">
        <f t="shared" si="25"/>
        <v>2058853_chr16:2058880-2058881:G&gt;A</v>
      </c>
      <c r="G106" s="5" t="s">
        <v>1059</v>
      </c>
      <c r="H106" t="s">
        <v>629</v>
      </c>
      <c r="I106" t="s">
        <v>978</v>
      </c>
      <c r="J106" t="s">
        <v>979</v>
      </c>
      <c r="K106" t="str">
        <f t="shared" si="14"/>
        <v>AGAGACAGGAGCCTTCGGTGGTGTGTTGCCATCATTTTACCAGGTAAGGCAGTTTCTGTGTGCAGTGAGCTGGCAGGAACGGGAGAGCTCCCCTCACGCCTGCCCACCCATCCCACTGGGGGTCCTGCTGCGGGGAGGTAGGAGGATAGGCCAGG</v>
      </c>
      <c r="L106" t="str">
        <f t="shared" si="15"/>
        <v>CGGTG</v>
      </c>
      <c r="M106" t="str">
        <f t="shared" si="16"/>
        <v>TGTTG</v>
      </c>
      <c r="N106">
        <f t="shared" si="17"/>
        <v>155</v>
      </c>
      <c r="O106">
        <f t="shared" si="18"/>
        <v>3</v>
      </c>
      <c r="P106" t="str">
        <f t="shared" si="24"/>
        <v>AGAGACAGGAGCCTTCGGTGGTGTGTTGCCATCATTTTACCAG</v>
      </c>
    </row>
    <row r="107" spans="1:16" x14ac:dyDescent="0.25">
      <c r="A107">
        <v>2058853</v>
      </c>
      <c r="B107" t="s">
        <v>18</v>
      </c>
      <c r="C107" t="s">
        <v>145</v>
      </c>
      <c r="E107">
        <f t="shared" si="12"/>
        <v>12</v>
      </c>
      <c r="F107" t="str">
        <f t="shared" si="25"/>
        <v>2058853_chr16:2058885-2058886:C&gt;T</v>
      </c>
      <c r="G107" s="1" t="s">
        <v>1002</v>
      </c>
      <c r="H107" t="s">
        <v>630</v>
      </c>
      <c r="I107" t="s">
        <v>978</v>
      </c>
      <c r="J107" t="s">
        <v>979</v>
      </c>
      <c r="K107" t="str">
        <f t="shared" si="14"/>
        <v>AGAGACAGGAGCCTTCGGTGTGCTGTTGCCATCATTTTACCAGGTAAGGCGGTTTTTGTGTGCAGTGAGCTGGCAGGAACGGGAGAGCTCCCCTCACGCCTGCCCACCCATCCCACTGGGGGTCCTGCTGCGGGGAGGTAGGAGGATAGGCCAGG</v>
      </c>
      <c r="L107" t="str">
        <f t="shared" si="15"/>
        <v>CGGTG</v>
      </c>
      <c r="M107" t="str">
        <f t="shared" si="16"/>
        <v>TGTTG</v>
      </c>
      <c r="N107">
        <f t="shared" si="17"/>
        <v>155</v>
      </c>
      <c r="O107">
        <f t="shared" si="18"/>
        <v>3</v>
      </c>
      <c r="P107" t="str">
        <f t="shared" si="24"/>
        <v>AGAGACAGGAGCCTTCGGTGTGCTGTTGCCATCATTTTACCAG</v>
      </c>
    </row>
    <row r="108" spans="1:16" x14ac:dyDescent="0.25">
      <c r="A108">
        <v>2058853</v>
      </c>
      <c r="B108" t="s">
        <v>18</v>
      </c>
      <c r="C108" t="s">
        <v>146</v>
      </c>
      <c r="E108">
        <f t="shared" si="12"/>
        <v>12</v>
      </c>
      <c r="F108" t="str">
        <f t="shared" si="25"/>
        <v>2058853_chr16:2058888-2058889:T&gt;C</v>
      </c>
      <c r="G108" s="5" t="s">
        <v>1060</v>
      </c>
      <c r="H108" t="s">
        <v>631</v>
      </c>
      <c r="I108" t="s">
        <v>978</v>
      </c>
      <c r="J108" t="s">
        <v>979</v>
      </c>
      <c r="K108" t="str">
        <f t="shared" si="14"/>
        <v>AGAGACAGGAGCCTTCGGTGCAGTGTTGCCATCATTTTACCAGGTAAGGCGGTTTCTGCGTGCAGTGAGCTGGCAGGAACGGGAGAGCTCCCCTCACGCCTGCCCACCCATCCCACTGGGGGTCCTGCTGCGGGGAGGTAGGAGGATAGGCCAGG</v>
      </c>
      <c r="L108" t="str">
        <f t="shared" si="15"/>
        <v>CGGTG</v>
      </c>
      <c r="M108" t="str">
        <f t="shared" si="16"/>
        <v>TGTTG</v>
      </c>
      <c r="N108">
        <f t="shared" si="17"/>
        <v>155</v>
      </c>
      <c r="O108">
        <f t="shared" si="18"/>
        <v>3</v>
      </c>
      <c r="P108" t="str">
        <f t="shared" si="24"/>
        <v>AGAGACAGGAGCCTTCGGTGCAGTGTTGCCATCATTTTACCAG</v>
      </c>
    </row>
    <row r="109" spans="1:16" x14ac:dyDescent="0.25">
      <c r="A109">
        <v>2060793</v>
      </c>
      <c r="B109" t="s">
        <v>19</v>
      </c>
      <c r="C109" t="s">
        <v>147</v>
      </c>
      <c r="D109" t="s">
        <v>534</v>
      </c>
      <c r="E109">
        <f t="shared" si="12"/>
        <v>8</v>
      </c>
      <c r="F109" t="str">
        <f>(A109&amp;"_"&amp;D109)</f>
        <v>2060793_wt</v>
      </c>
      <c r="G109" t="s">
        <v>985</v>
      </c>
      <c r="H109" t="s">
        <v>503</v>
      </c>
      <c r="I109" t="s">
        <v>978</v>
      </c>
      <c r="J109" t="s">
        <v>979</v>
      </c>
      <c r="K109" t="str">
        <f t="shared" si="14"/>
        <v>AGAGACAGGAGCCTTCGGTGATGGCTCCTTCAGCAGCTCCAGGTGGGGTGGGGGCAGGAGCTCCGGGGAGCACCGGGAACCCAGACAGGCAGGCTCGGCCCACTCAGAAGATGGTACCTTGGGCCCCATCTCTGAGGTAGGAGGATAGGCCAGG</v>
      </c>
      <c r="L109" t="str">
        <f t="shared" si="15"/>
        <v>CGGTG</v>
      </c>
      <c r="M109" t="str">
        <f t="shared" si="16"/>
        <v>GGCTC</v>
      </c>
      <c r="N109">
        <f t="shared" si="17"/>
        <v>154</v>
      </c>
      <c r="O109">
        <f t="shared" si="18"/>
        <v>2</v>
      </c>
      <c r="P109" t="str">
        <f t="shared" ref="P109:P116" si="26">LEFT(K109,42)</f>
        <v>AGAGACAGGAGCCTTCGGTGATGGCTCCTTCAGCAGCTCCAG</v>
      </c>
    </row>
    <row r="110" spans="1:16" x14ac:dyDescent="0.25">
      <c r="A110">
        <v>2060793</v>
      </c>
      <c r="B110" t="s">
        <v>19</v>
      </c>
      <c r="C110" t="s">
        <v>147</v>
      </c>
      <c r="E110">
        <f t="shared" si="12"/>
        <v>8</v>
      </c>
      <c r="F110" t="str">
        <f t="shared" ref="F110:F116" si="27">(A110&amp;"_"&amp;C110)</f>
        <v>2060793_chr16:2060813-2060814:G&gt;A</v>
      </c>
      <c r="G110" t="s">
        <v>1011</v>
      </c>
      <c r="H110" t="s">
        <v>632</v>
      </c>
      <c r="I110" t="s">
        <v>978</v>
      </c>
      <c r="J110" t="s">
        <v>979</v>
      </c>
      <c r="K110" t="str">
        <f t="shared" si="14"/>
        <v>AGAGACAGGAGCCTTCGGTGTGGGCTCCTTCAGCAGCTCCAGATGGGGTGGGGGCAGGAGCTCCGGGGAGCACCGGGAACCCAGACAGGCAGGCTCGGCCCACTCAGAAGATGGTACCTTGGGCCCCATCTCTGAGGTAGGAGGATAGGCCAGG</v>
      </c>
      <c r="L110" t="str">
        <f t="shared" si="15"/>
        <v>CGGTG</v>
      </c>
      <c r="M110" t="str">
        <f t="shared" si="16"/>
        <v>GGCTC</v>
      </c>
      <c r="N110">
        <f t="shared" si="17"/>
        <v>154</v>
      </c>
      <c r="O110">
        <f t="shared" si="18"/>
        <v>2</v>
      </c>
      <c r="P110" t="str">
        <f t="shared" si="26"/>
        <v>AGAGACAGGAGCCTTCGGTGTGGGCTCCTTCAGCAGCTCCAG</v>
      </c>
    </row>
    <row r="111" spans="1:16" x14ac:dyDescent="0.25">
      <c r="A111">
        <v>2060793</v>
      </c>
      <c r="B111" t="s">
        <v>19</v>
      </c>
      <c r="C111" t="s">
        <v>148</v>
      </c>
      <c r="E111">
        <f t="shared" si="12"/>
        <v>8</v>
      </c>
      <c r="F111" t="str">
        <f t="shared" si="27"/>
        <v>2060793_chr16:2060813-2060814:G&gt;C</v>
      </c>
      <c r="G111" t="s">
        <v>986</v>
      </c>
      <c r="H111" t="s">
        <v>633</v>
      </c>
      <c r="I111" t="s">
        <v>978</v>
      </c>
      <c r="J111" t="s">
        <v>979</v>
      </c>
      <c r="K111" t="str">
        <f t="shared" si="14"/>
        <v>AGAGACAGGAGCCTTCGGTGCTGGCTCCTTCAGCAGCTCCAGCTGGGGTGGGGGCAGGAGCTCCGGGGAGCACCGGGAACCCAGACAGGCAGGCTCGGCCCACTCAGAAGATGGTACCTTGGGCCCCATCTCTGAGGTAGGAGGATAGGCCAGG</v>
      </c>
      <c r="L111" t="str">
        <f t="shared" si="15"/>
        <v>CGGTG</v>
      </c>
      <c r="M111" t="str">
        <f t="shared" si="16"/>
        <v>GGCTC</v>
      </c>
      <c r="N111">
        <f t="shared" si="17"/>
        <v>154</v>
      </c>
      <c r="O111">
        <f t="shared" si="18"/>
        <v>2</v>
      </c>
      <c r="P111" t="str">
        <f t="shared" si="26"/>
        <v>AGAGACAGGAGCCTTCGGTGCTGGCTCCTTCAGCAGCTCCAG</v>
      </c>
    </row>
    <row r="112" spans="1:16" x14ac:dyDescent="0.25">
      <c r="A112">
        <v>2060793</v>
      </c>
      <c r="B112" t="s">
        <v>19</v>
      </c>
      <c r="C112" t="s">
        <v>149</v>
      </c>
      <c r="E112">
        <f t="shared" si="12"/>
        <v>8</v>
      </c>
      <c r="F112" t="str">
        <f t="shared" si="27"/>
        <v>2060793_chr16:2060814-2060815:T&gt;G</v>
      </c>
      <c r="G112" t="s">
        <v>987</v>
      </c>
      <c r="H112" t="s">
        <v>634</v>
      </c>
      <c r="I112" t="s">
        <v>980</v>
      </c>
      <c r="J112" t="s">
        <v>979</v>
      </c>
      <c r="K112" t="str">
        <f t="shared" si="14"/>
        <v>AGAGACAGGAGCCTTCGGTGGCGGCTCCTTCAGCAGCTCCAGGGGGGGTGGGGGCAGGAGCTCCGGGGAGCACCGGGAACCCAGACAGGCAGGCTCGGCCCACTCAGAAGATGGTACCTTGGGCCCCATCTCTGAGGTAGGAGGATAGGCCAGG</v>
      </c>
      <c r="L112" t="str">
        <f t="shared" si="15"/>
        <v>CGGTG</v>
      </c>
      <c r="M112" t="str">
        <f t="shared" si="16"/>
        <v>GGCTC</v>
      </c>
      <c r="N112">
        <f t="shared" si="17"/>
        <v>154</v>
      </c>
      <c r="O112">
        <f t="shared" si="18"/>
        <v>2</v>
      </c>
      <c r="P112" t="str">
        <f t="shared" si="26"/>
        <v>AGAGACAGGAGCCTTCGGTGGCGGCTCCTTCAGCAGCTCCAG</v>
      </c>
    </row>
    <row r="113" spans="1:16" x14ac:dyDescent="0.25">
      <c r="A113">
        <v>2060793</v>
      </c>
      <c r="B113" t="s">
        <v>19</v>
      </c>
      <c r="C113" t="s">
        <v>150</v>
      </c>
      <c r="E113">
        <f t="shared" si="12"/>
        <v>8</v>
      </c>
      <c r="F113" t="str">
        <f t="shared" si="27"/>
        <v>2060793_chr16:2060818-2060819:G&gt;C</v>
      </c>
      <c r="G113" t="s">
        <v>988</v>
      </c>
      <c r="H113" t="s">
        <v>635</v>
      </c>
      <c r="I113" t="s">
        <v>978</v>
      </c>
      <c r="J113" t="s">
        <v>979</v>
      </c>
      <c r="K113" t="str">
        <f t="shared" si="14"/>
        <v>AGAGACAGGAGCCTTCGGTGACGGCTCCTTCAGCAGCTCCAGGTGGGCTGGGGGCAGGAGCTCCGGGGAGCACCGGGAACCCAGACAGGCAGGCTCGGCCCACTCAGAAGATGGTACCTTGGGCCCCATCTCTGAGGTAGGAGGATAGGCCAGG</v>
      </c>
      <c r="L113" t="str">
        <f t="shared" si="15"/>
        <v>CGGTG</v>
      </c>
      <c r="M113" t="str">
        <f t="shared" si="16"/>
        <v>GGCTC</v>
      </c>
      <c r="N113">
        <f t="shared" si="17"/>
        <v>154</v>
      </c>
      <c r="O113">
        <f t="shared" si="18"/>
        <v>2</v>
      </c>
      <c r="P113" t="str">
        <f t="shared" si="26"/>
        <v>AGAGACAGGAGCCTTCGGTGACGGCTCCTTCAGCAGCTCCAG</v>
      </c>
    </row>
    <row r="114" spans="1:16" x14ac:dyDescent="0.25">
      <c r="A114">
        <v>2060793</v>
      </c>
      <c r="B114" t="s">
        <v>19</v>
      </c>
      <c r="C114" t="s">
        <v>151</v>
      </c>
      <c r="E114">
        <f t="shared" si="12"/>
        <v>8</v>
      </c>
      <c r="F114" t="str">
        <f t="shared" si="27"/>
        <v>2060793_chr16:2060825-2060825:-&gt;G</v>
      </c>
      <c r="G114" t="s">
        <v>989</v>
      </c>
      <c r="H114" t="s">
        <v>636</v>
      </c>
      <c r="I114" t="s">
        <v>978</v>
      </c>
      <c r="J114" t="s">
        <v>979</v>
      </c>
      <c r="K114" t="str">
        <f t="shared" si="14"/>
        <v>AGAGACAGGAGCCTTCGGTGCGGGCTCCTTCAGCAGCTCCAGGTGGGGTGGGGGGCAGGAGCTCCGGGGAGCACCGGGAACCCAGACAGGCAGGCTCGGCCCACTCAGAAGATGGTACCTTGGGCCCCATCTCTGAGGTAGGAGGATAGGCCAGG</v>
      </c>
      <c r="L114" t="str">
        <f t="shared" si="15"/>
        <v>CGGTG</v>
      </c>
      <c r="M114" t="str">
        <f t="shared" si="16"/>
        <v>GGCTC</v>
      </c>
      <c r="N114">
        <f t="shared" si="17"/>
        <v>155</v>
      </c>
      <c r="O114">
        <f t="shared" si="18"/>
        <v>2</v>
      </c>
      <c r="P114" t="str">
        <f t="shared" si="26"/>
        <v>AGAGACAGGAGCCTTCGGTGCGGGCTCCTTCAGCAGCTCCAG</v>
      </c>
    </row>
    <row r="115" spans="1:16" x14ac:dyDescent="0.25">
      <c r="A115">
        <v>2060793</v>
      </c>
      <c r="B115" t="s">
        <v>19</v>
      </c>
      <c r="C115" t="s">
        <v>152</v>
      </c>
      <c r="E115">
        <f t="shared" si="12"/>
        <v>8</v>
      </c>
      <c r="F115" t="str">
        <f t="shared" si="27"/>
        <v>2060793_chr16:2060834-2060835:C&gt;T</v>
      </c>
      <c r="G115" t="s">
        <v>990</v>
      </c>
      <c r="H115" t="s">
        <v>637</v>
      </c>
      <c r="I115" t="s">
        <v>978</v>
      </c>
      <c r="J115" t="s">
        <v>979</v>
      </c>
      <c r="K115" t="str">
        <f t="shared" si="14"/>
        <v>AGAGACAGGAGCCTTCGGTGGTGGCTCCTTCAGCAGCTCCAGGTGGGGTGGGGGCAGGAGCTCTGGGGAGCACCGGGAACCCAGACAGGCAGGCTCGGCCCACTCAGAAGATGGTACCTTGGGCCCCATCTCTGAGGTAGGAGGATAGGCCAGG</v>
      </c>
      <c r="L115" t="str">
        <f t="shared" si="15"/>
        <v>CGGTG</v>
      </c>
      <c r="M115" t="str">
        <f t="shared" si="16"/>
        <v>GGCTC</v>
      </c>
      <c r="N115">
        <f t="shared" si="17"/>
        <v>154</v>
      </c>
      <c r="O115">
        <f t="shared" si="18"/>
        <v>2</v>
      </c>
      <c r="P115" t="str">
        <f t="shared" si="26"/>
        <v>AGAGACAGGAGCCTTCGGTGGTGGCTCCTTCAGCAGCTCCAG</v>
      </c>
    </row>
    <row r="116" spans="1:16" x14ac:dyDescent="0.25">
      <c r="A116">
        <v>2060793</v>
      </c>
      <c r="B116" t="s">
        <v>19</v>
      </c>
      <c r="C116" t="s">
        <v>153</v>
      </c>
      <c r="E116">
        <f t="shared" si="12"/>
        <v>8</v>
      </c>
      <c r="F116" t="str">
        <f t="shared" si="27"/>
        <v>2060793_chr16:2060835-2060836:G&gt;A</v>
      </c>
      <c r="G116" t="s">
        <v>991</v>
      </c>
      <c r="H116" t="s">
        <v>638</v>
      </c>
      <c r="I116" t="s">
        <v>978</v>
      </c>
      <c r="J116" t="s">
        <v>979</v>
      </c>
      <c r="K116" t="str">
        <f t="shared" si="14"/>
        <v>AGAGACAGGAGCCTTCGGTGGAGGCTCCTTCAGCAGCTCCAGGTGGGGTGGGGGCAGGAGCTCCAGGGAGCACCGGGAACCCAGACAGGCAGGCTCGGCCCACTCAGAAGATGGTACCTTGGGCCCCATCTCTGAGGTAGGAGGATAGGCCAGG</v>
      </c>
      <c r="L116" t="str">
        <f t="shared" si="15"/>
        <v>CGGTG</v>
      </c>
      <c r="M116" t="str">
        <f t="shared" si="16"/>
        <v>GGCTC</v>
      </c>
      <c r="N116">
        <f t="shared" si="17"/>
        <v>154</v>
      </c>
      <c r="O116">
        <f t="shared" si="18"/>
        <v>2</v>
      </c>
      <c r="P116" t="str">
        <f t="shared" si="26"/>
        <v>AGAGACAGGAGCCTTCGGTGGAGGCTCCTTCAGCAGCTCCAG</v>
      </c>
    </row>
    <row r="117" spans="1:16" x14ac:dyDescent="0.25">
      <c r="A117">
        <v>2061988</v>
      </c>
      <c r="B117" t="s">
        <v>20</v>
      </c>
      <c r="C117" t="s">
        <v>154</v>
      </c>
      <c r="D117" t="s">
        <v>534</v>
      </c>
      <c r="E117">
        <f t="shared" si="12"/>
        <v>15</v>
      </c>
      <c r="F117" t="str">
        <f>(A117&amp;"_"&amp;D117)</f>
        <v>2061988_wt</v>
      </c>
      <c r="G117" s="3" t="s">
        <v>997</v>
      </c>
      <c r="H117" t="s">
        <v>504</v>
      </c>
      <c r="I117" t="s">
        <v>978</v>
      </c>
      <c r="J117" t="s">
        <v>979</v>
      </c>
      <c r="K117" t="str">
        <f t="shared" si="14"/>
        <v>AGAGACAGGAGCCTTCGGTGTGAGATGTGCGGACCAGAGGCCTGTGAGACCCCCTCCTGGGTGGGGCCTTTGGGCTTTGGCTGGTGGGGAGGGGCCGGGTGCTGGGTGAAGTGCAGCTTTCTGAGCCTCAGAAGCAGGTAGGAGGATAGGCCAGG</v>
      </c>
      <c r="L117" t="str">
        <f t="shared" si="15"/>
        <v>CGGTG</v>
      </c>
      <c r="M117" t="str">
        <f t="shared" si="16"/>
        <v>GATGT</v>
      </c>
      <c r="N117">
        <f t="shared" si="17"/>
        <v>155</v>
      </c>
      <c r="O117">
        <f t="shared" si="18"/>
        <v>3</v>
      </c>
      <c r="P117" t="str">
        <f t="shared" ref="P117:P131" si="28">LEFT(K117,43)</f>
        <v>AGAGACAGGAGCCTTCGGTGTGAGATGTGCGGACCAGAGGCCT</v>
      </c>
    </row>
    <row r="118" spans="1:16" x14ac:dyDescent="0.25">
      <c r="A118">
        <v>2061988</v>
      </c>
      <c r="B118" t="s">
        <v>20</v>
      </c>
      <c r="C118" t="s">
        <v>154</v>
      </c>
      <c r="E118">
        <f t="shared" si="12"/>
        <v>15</v>
      </c>
      <c r="F118" t="str">
        <f t="shared" ref="F118:F131" si="29">(A118&amp;"_"&amp;C118)</f>
        <v>2061988_chr16:2062008-2062009:G&gt;A</v>
      </c>
      <c r="G118" s="3" t="s">
        <v>994</v>
      </c>
      <c r="H118" t="s">
        <v>639</v>
      </c>
      <c r="I118" t="s">
        <v>978</v>
      </c>
      <c r="J118" t="s">
        <v>979</v>
      </c>
      <c r="K118" t="str">
        <f t="shared" si="14"/>
        <v>AGAGACAGGAGCCTTCGGTGGAGGATGTGCGGACCAGAGGCCTATGAGACCCCCTCCTGGGTGGGGCCTTTGGGCTTTGGCTGGTGGGGAGGGGCCGGGTGCTGGGTGAAGTGCAGCTTTCTGAGCCTCAGAAGCAGGTAGGAGGATAGGCCAGG</v>
      </c>
      <c r="L118" t="str">
        <f t="shared" si="15"/>
        <v>CGGTG</v>
      </c>
      <c r="M118" t="str">
        <f t="shared" si="16"/>
        <v>GATGT</v>
      </c>
      <c r="N118">
        <f t="shared" si="17"/>
        <v>155</v>
      </c>
      <c r="O118">
        <f t="shared" si="18"/>
        <v>3</v>
      </c>
      <c r="P118" t="str">
        <f t="shared" si="28"/>
        <v>AGAGACAGGAGCCTTCGGTGGAGGATGTGCGGACCAGAGGCCT</v>
      </c>
    </row>
    <row r="119" spans="1:16" x14ac:dyDescent="0.25">
      <c r="A119">
        <v>2061988</v>
      </c>
      <c r="B119" t="s">
        <v>20</v>
      </c>
      <c r="C119" t="s">
        <v>155</v>
      </c>
      <c r="E119">
        <f t="shared" si="12"/>
        <v>15</v>
      </c>
      <c r="F119" t="str">
        <f t="shared" si="29"/>
        <v>2061988_chr16:2062008-2062009:G&gt;C</v>
      </c>
      <c r="G119" s="3" t="s">
        <v>1004</v>
      </c>
      <c r="H119" t="s">
        <v>640</v>
      </c>
      <c r="I119" t="s">
        <v>978</v>
      </c>
      <c r="J119" t="s">
        <v>979</v>
      </c>
      <c r="K119" t="str">
        <f t="shared" si="14"/>
        <v>AGAGACAGGAGCCTTCGGTGTCGGATGTGCGGACCAGAGGCCTCTGAGACCCCCTCCTGGGTGGGGCCTTTGGGCTTTGGCTGGTGGGGAGGGGCCGGGTGCTGGGTGAAGTGCAGCTTTCTGAGCCTCAGAAGCAGGTAGGAGGATAGGCCAGG</v>
      </c>
      <c r="L119" t="str">
        <f t="shared" si="15"/>
        <v>CGGTG</v>
      </c>
      <c r="M119" t="str">
        <f t="shared" si="16"/>
        <v>GATGT</v>
      </c>
      <c r="N119">
        <f t="shared" si="17"/>
        <v>155</v>
      </c>
      <c r="O119">
        <f t="shared" si="18"/>
        <v>3</v>
      </c>
      <c r="P119" t="str">
        <f t="shared" si="28"/>
        <v>AGAGACAGGAGCCTTCGGTGTCGGATGTGCGGACCAGAGGCCT</v>
      </c>
    </row>
    <row r="120" spans="1:16" x14ac:dyDescent="0.25">
      <c r="A120">
        <v>2061988</v>
      </c>
      <c r="B120" t="s">
        <v>20</v>
      </c>
      <c r="C120" t="s">
        <v>156</v>
      </c>
      <c r="E120">
        <f t="shared" si="12"/>
        <v>15</v>
      </c>
      <c r="F120" t="str">
        <f t="shared" si="29"/>
        <v>2061988_chr16:2062008-2062009:G&gt;T</v>
      </c>
      <c r="G120" s="3" t="s">
        <v>998</v>
      </c>
      <c r="H120" t="s">
        <v>641</v>
      </c>
      <c r="I120" t="s">
        <v>978</v>
      </c>
      <c r="J120" t="s">
        <v>981</v>
      </c>
      <c r="K120" t="str">
        <f t="shared" si="14"/>
        <v>AGAGACAGGAGCCTTCGGTGGTAGATGTGCGGACCAGAGGCCTTTGAGACCCCCTCCTGGGTGGGGCCTTTGGGCTTTGGCTGGTGGGGAGGGGCCGGGTGCTGGGTGAAGTGCAGCTTTCTGAGCCTCAGAAGCAGGTAGGAGGATAGGCCAGG</v>
      </c>
      <c r="L120" t="str">
        <f t="shared" si="15"/>
        <v>CGGTG</v>
      </c>
      <c r="M120" t="str">
        <f t="shared" si="16"/>
        <v>GATGT</v>
      </c>
      <c r="N120">
        <f t="shared" si="17"/>
        <v>155</v>
      </c>
      <c r="O120">
        <f t="shared" si="18"/>
        <v>3</v>
      </c>
      <c r="P120" t="str">
        <f t="shared" si="28"/>
        <v>AGAGACAGGAGCCTTCGGTGGTAGATGTGCGGACCAGAGGCCT</v>
      </c>
    </row>
    <row r="121" spans="1:16" x14ac:dyDescent="0.25">
      <c r="A121">
        <v>2061988</v>
      </c>
      <c r="B121" t="s">
        <v>20</v>
      </c>
      <c r="C121" t="s">
        <v>157</v>
      </c>
      <c r="E121">
        <f t="shared" si="12"/>
        <v>15</v>
      </c>
      <c r="F121" t="str">
        <f t="shared" si="29"/>
        <v>2061988_chr16:2062009-2062010:T&gt;C</v>
      </c>
      <c r="G121" s="3" t="s">
        <v>999</v>
      </c>
      <c r="H121" t="s">
        <v>642</v>
      </c>
      <c r="I121" t="s">
        <v>978</v>
      </c>
      <c r="J121" t="s">
        <v>979</v>
      </c>
      <c r="K121" t="str">
        <f t="shared" si="14"/>
        <v>AGAGACAGGAGCCTTCGGTGATAGATGTGCGGACCAGAGGCCTGCGAGACCCCCTCCTGGGTGGGGCCTTTGGGCTTTGGCTGGTGGGGAGGGGCCGGGTGCTGGGTGAAGTGCAGCTTTCTGAGCCTCAGAAGCAGGTAGGAGGATAGGCCAGG</v>
      </c>
      <c r="L121" t="str">
        <f t="shared" si="15"/>
        <v>CGGTG</v>
      </c>
      <c r="M121" t="str">
        <f t="shared" si="16"/>
        <v>GATGT</v>
      </c>
      <c r="N121">
        <f t="shared" si="17"/>
        <v>155</v>
      </c>
      <c r="O121">
        <f t="shared" si="18"/>
        <v>3</v>
      </c>
      <c r="P121" t="str">
        <f t="shared" si="28"/>
        <v>AGAGACAGGAGCCTTCGGTGATAGATGTGCGGACCAGAGGCCT</v>
      </c>
    </row>
    <row r="122" spans="1:16" x14ac:dyDescent="0.25">
      <c r="A122">
        <v>2061988</v>
      </c>
      <c r="B122" t="s">
        <v>20</v>
      </c>
      <c r="C122" t="s">
        <v>158</v>
      </c>
      <c r="E122">
        <f t="shared" si="12"/>
        <v>15</v>
      </c>
      <c r="F122" t="str">
        <f t="shared" si="29"/>
        <v>2061988_chr16:2062009-2062010:T&gt;G</v>
      </c>
      <c r="G122" s="3" t="s">
        <v>1000</v>
      </c>
      <c r="H122" t="s">
        <v>643</v>
      </c>
      <c r="I122" t="s">
        <v>978</v>
      </c>
      <c r="J122" t="s">
        <v>979</v>
      </c>
      <c r="K122" t="str">
        <f t="shared" si="14"/>
        <v>AGAGACAGGAGCCTTCGGTGAGCGATGTGCGGACCAGAGGCCTGGGAGACCCCCTCCTGGGTGGGGCCTTTGGGCTTTGGCTGGTGGGGAGGGGCCGGGTGCTGGGTGAAGTGCAGCTTTCTGAGCCTCAGAAGCAGGTAGGAGGATAGGCCAGG</v>
      </c>
      <c r="L122" t="str">
        <f t="shared" si="15"/>
        <v>CGGTG</v>
      </c>
      <c r="M122" t="str">
        <f t="shared" si="16"/>
        <v>GATGT</v>
      </c>
      <c r="N122">
        <f t="shared" si="17"/>
        <v>155</v>
      </c>
      <c r="O122">
        <f t="shared" si="18"/>
        <v>3</v>
      </c>
      <c r="P122" t="str">
        <f t="shared" si="28"/>
        <v>AGAGACAGGAGCCTTCGGTGAGCGATGTGCGGACCAGAGGCCT</v>
      </c>
    </row>
    <row r="123" spans="1:16" x14ac:dyDescent="0.25">
      <c r="A123">
        <v>2061988</v>
      </c>
      <c r="B123" t="s">
        <v>20</v>
      </c>
      <c r="C123" t="s">
        <v>159</v>
      </c>
      <c r="E123">
        <f t="shared" si="12"/>
        <v>15</v>
      </c>
      <c r="F123" t="str">
        <f t="shared" si="29"/>
        <v>2061988_chr16:2062010-2062011:G&gt;C</v>
      </c>
      <c r="G123" s="4" t="s">
        <v>1061</v>
      </c>
      <c r="H123" t="s">
        <v>644</v>
      </c>
      <c r="I123" t="s">
        <v>978</v>
      </c>
      <c r="J123" t="s">
        <v>979</v>
      </c>
      <c r="K123" t="str">
        <f t="shared" si="14"/>
        <v>AGAGACAGGAGCCTTCGGTGGTGGATGTGCGGACCAGAGGCCTGTCAGACCCCCTCCTGGGTGGGGCCTTTGGGCTTTGGCTGGTGGGGAGGGGCCGGGTGCTGGGTGAAGTGCAGCTTTCTGAGCCTCAGAAGCAGGTAGGAGGATAGGCCAGG</v>
      </c>
      <c r="L123" t="str">
        <f t="shared" si="15"/>
        <v>CGGTG</v>
      </c>
      <c r="M123" t="str">
        <f t="shared" si="16"/>
        <v>GATGT</v>
      </c>
      <c r="N123">
        <f t="shared" si="17"/>
        <v>155</v>
      </c>
      <c r="O123">
        <f t="shared" si="18"/>
        <v>3</v>
      </c>
      <c r="P123" t="str">
        <f t="shared" si="28"/>
        <v>AGAGACAGGAGCCTTCGGTGGTGGATGTGCGGACCAGAGGCCT</v>
      </c>
    </row>
    <row r="124" spans="1:16" x14ac:dyDescent="0.25">
      <c r="A124">
        <v>2061988</v>
      </c>
      <c r="B124" t="s">
        <v>20</v>
      </c>
      <c r="C124" t="s">
        <v>160</v>
      </c>
      <c r="E124">
        <f t="shared" si="12"/>
        <v>15</v>
      </c>
      <c r="F124" t="str">
        <f t="shared" si="29"/>
        <v>2061988_chr16:2062015-2062016:C&gt;A</v>
      </c>
      <c r="G124" s="3" t="s">
        <v>1003</v>
      </c>
      <c r="H124" t="s">
        <v>645</v>
      </c>
      <c r="I124" t="s">
        <v>978</v>
      </c>
      <c r="J124" t="s">
        <v>979</v>
      </c>
      <c r="K124" t="str">
        <f t="shared" si="14"/>
        <v>AGAGACAGGAGCCTTCGGTGGCAGATGTGCGGACCAGAGGCCTGTGAGACACCCTCCTGGGTGGGGCCTTTGGGCTTTGGCTGGTGGGGAGGGGCCGGGTGCTGGGTGAAGTGCAGCTTTCTGAGCCTCAGAAGCAGGTAGGAGGATAGGCCAGG</v>
      </c>
      <c r="L124" t="str">
        <f t="shared" si="15"/>
        <v>CGGTG</v>
      </c>
      <c r="M124" t="str">
        <f t="shared" si="16"/>
        <v>GATGT</v>
      </c>
      <c r="N124">
        <f t="shared" si="17"/>
        <v>155</v>
      </c>
      <c r="O124">
        <f t="shared" si="18"/>
        <v>3</v>
      </c>
      <c r="P124" t="str">
        <f t="shared" si="28"/>
        <v>AGAGACAGGAGCCTTCGGTGGCAGATGTGCGGACCAGAGGCCT</v>
      </c>
    </row>
    <row r="125" spans="1:16" x14ac:dyDescent="0.25">
      <c r="A125">
        <v>2061988</v>
      </c>
      <c r="B125" t="s">
        <v>20</v>
      </c>
      <c r="C125" t="s">
        <v>161</v>
      </c>
      <c r="E125">
        <f t="shared" si="12"/>
        <v>15</v>
      </c>
      <c r="F125" t="str">
        <f t="shared" si="29"/>
        <v>2061988_chr16:2062015-2062016:C&gt;G</v>
      </c>
      <c r="G125" s="3" t="s">
        <v>1006</v>
      </c>
      <c r="H125" t="s">
        <v>646</v>
      </c>
      <c r="I125" t="s">
        <v>978</v>
      </c>
      <c r="J125" t="s">
        <v>979</v>
      </c>
      <c r="K125" t="str">
        <f t="shared" si="14"/>
        <v>AGAGACAGGAGCCTTCGGTGCGAGATGTGCGGACCAGAGGCCTGTGAGACGCCCTCCTGGGTGGGGCCTTTGGGCTTTGGCTGGTGGGGAGGGGCCGGGTGCTGGGTGAAGTGCAGCTTTCTGAGCCTCAGAAGCAGGTAGGAGGATAGGCCAGG</v>
      </c>
      <c r="L125" t="str">
        <f t="shared" si="15"/>
        <v>CGGTG</v>
      </c>
      <c r="M125" t="str">
        <f t="shared" si="16"/>
        <v>GATGT</v>
      </c>
      <c r="N125">
        <f t="shared" si="17"/>
        <v>155</v>
      </c>
      <c r="O125">
        <f t="shared" si="18"/>
        <v>3</v>
      </c>
      <c r="P125" t="str">
        <f t="shared" si="28"/>
        <v>AGAGACAGGAGCCTTCGGTGCGAGATGTGCGGACCAGAGGCCT</v>
      </c>
    </row>
    <row r="126" spans="1:16" x14ac:dyDescent="0.25">
      <c r="A126">
        <v>2061988</v>
      </c>
      <c r="B126" t="s">
        <v>20</v>
      </c>
      <c r="C126" t="s">
        <v>162</v>
      </c>
      <c r="E126">
        <f t="shared" si="12"/>
        <v>15</v>
      </c>
      <c r="F126" t="str">
        <f t="shared" si="29"/>
        <v>2061988_chr16:2062017-2062018:C&gt;G</v>
      </c>
      <c r="G126" s="3" t="s">
        <v>1007</v>
      </c>
      <c r="H126" t="s">
        <v>647</v>
      </c>
      <c r="I126" t="s">
        <v>978</v>
      </c>
      <c r="J126" t="s">
        <v>979</v>
      </c>
      <c r="K126" t="str">
        <f t="shared" si="14"/>
        <v>AGAGACAGGAGCCTTCGGTGGGAGATGTGCGGACCAGAGGCCTGTGAGACCCGCTCCTGGGTGGGGCCTTTGGGCTTTGGCTGGTGGGGAGGGGCCGGGTGCTGGGTGAAGTGCAGCTTTCTGAGCCTCAGAAGCAGGTAGGAGGATAGGCCAGG</v>
      </c>
      <c r="L126" t="str">
        <f t="shared" si="15"/>
        <v>CGGTG</v>
      </c>
      <c r="M126" t="str">
        <f t="shared" si="16"/>
        <v>GATGT</v>
      </c>
      <c r="N126">
        <f t="shared" si="17"/>
        <v>155</v>
      </c>
      <c r="O126">
        <f t="shared" si="18"/>
        <v>3</v>
      </c>
      <c r="P126" t="str">
        <f t="shared" si="28"/>
        <v>AGAGACAGGAGCCTTCGGTGGGAGATGTGCGGACCAGAGGCCT</v>
      </c>
    </row>
    <row r="127" spans="1:16" x14ac:dyDescent="0.25">
      <c r="A127">
        <v>2061988</v>
      </c>
      <c r="B127" t="s">
        <v>20</v>
      </c>
      <c r="C127" t="s">
        <v>163</v>
      </c>
      <c r="E127">
        <f t="shared" si="12"/>
        <v>15</v>
      </c>
      <c r="F127" t="str">
        <f t="shared" si="29"/>
        <v>2061988_chr16:2062017-2062018:C&gt;T</v>
      </c>
      <c r="G127" s="3" t="s">
        <v>1002</v>
      </c>
      <c r="H127" t="s">
        <v>648</v>
      </c>
      <c r="I127" t="s">
        <v>978</v>
      </c>
      <c r="J127" t="s">
        <v>979</v>
      </c>
      <c r="K127" t="str">
        <f t="shared" si="14"/>
        <v>AGAGACAGGAGCCTTCGGTGTGCGATGTGCGGACCAGAGGCCTGTGAGACCCTCTCCTGGGTGGGGCCTTTGGGCTTTGGCTGGTGGGGAGGGGCCGGGTGCTGGGTGAAGTGCAGCTTTCTGAGCCTCAGAAGCAGGTAGGAGGATAGGCCAGG</v>
      </c>
      <c r="L127" t="str">
        <f t="shared" si="15"/>
        <v>CGGTG</v>
      </c>
      <c r="M127" t="str">
        <f t="shared" si="16"/>
        <v>GATGT</v>
      </c>
      <c r="N127">
        <f t="shared" si="17"/>
        <v>155</v>
      </c>
      <c r="O127">
        <f t="shared" si="18"/>
        <v>3</v>
      </c>
      <c r="P127" t="str">
        <f t="shared" si="28"/>
        <v>AGAGACAGGAGCCTTCGGTGTGCGATGTGCGGACCAGAGGCCT</v>
      </c>
    </row>
    <row r="128" spans="1:16" x14ac:dyDescent="0.25">
      <c r="A128">
        <v>2061988</v>
      </c>
      <c r="B128" t="s">
        <v>20</v>
      </c>
      <c r="C128" t="s">
        <v>164</v>
      </c>
      <c r="E128">
        <f t="shared" si="12"/>
        <v>15</v>
      </c>
      <c r="F128" t="str">
        <f t="shared" si="29"/>
        <v>2061988_chr16:2062021-2062022:C&gt;T</v>
      </c>
      <c r="G128" s="4" t="s">
        <v>1060</v>
      </c>
      <c r="H128" t="s">
        <v>649</v>
      </c>
      <c r="I128" t="s">
        <v>978</v>
      </c>
      <c r="J128" t="s">
        <v>979</v>
      </c>
      <c r="K128" t="str">
        <f t="shared" si="14"/>
        <v>AGAGACAGGAGCCTTCGGTGCAGGATGTGCGGACCAGAGGCCTGTGAGACCCCCTCTTGGGTGGGGCCTTTGGGCTTTGGCTGGTGGGGAGGGGCCGGGTGCTGGGTGAAGTGCAGCTTTCTGAGCCTCAGAAGCAGGTAGGAGGATAGGCCAGG</v>
      </c>
      <c r="L128" t="str">
        <f t="shared" si="15"/>
        <v>CGGTG</v>
      </c>
      <c r="M128" t="str">
        <f t="shared" si="16"/>
        <v>GATGT</v>
      </c>
      <c r="N128">
        <f t="shared" si="17"/>
        <v>155</v>
      </c>
      <c r="O128">
        <f t="shared" si="18"/>
        <v>3</v>
      </c>
      <c r="P128" t="str">
        <f t="shared" si="28"/>
        <v>AGAGACAGGAGCCTTCGGTGCAGGATGTGCGGACCAGAGGCCT</v>
      </c>
    </row>
    <row r="129" spans="1:16" x14ac:dyDescent="0.25">
      <c r="A129">
        <v>2061988</v>
      </c>
      <c r="B129" t="s">
        <v>20</v>
      </c>
      <c r="C129" t="s">
        <v>165</v>
      </c>
      <c r="E129">
        <f t="shared" si="12"/>
        <v>15</v>
      </c>
      <c r="F129" t="str">
        <f t="shared" si="29"/>
        <v>2061988_chr16:2062024-2062025:G&gt;T</v>
      </c>
      <c r="G129" s="3" t="s">
        <v>1024</v>
      </c>
      <c r="H129" t="s">
        <v>650</v>
      </c>
      <c r="I129" t="s">
        <v>978</v>
      </c>
      <c r="J129" t="s">
        <v>979</v>
      </c>
      <c r="K129" t="str">
        <f t="shared" si="14"/>
        <v>AGAGACAGGAGCCTTCGGTGACGGATGTGCGGACCAGAGGCCTGTGAGACCCCCTCCTGTGTGGGGCCTTTGGGCTTTGGCTGGTGGGGAGGGGCCGGGTGCTGGGTGAAGTGCAGCTTTCTGAGCCTCAGAAGCAGGTAGGAGGATAGGCCAGG</v>
      </c>
      <c r="L129" t="str">
        <f t="shared" si="15"/>
        <v>CGGTG</v>
      </c>
      <c r="M129" t="str">
        <f t="shared" si="16"/>
        <v>GATGT</v>
      </c>
      <c r="N129">
        <f t="shared" si="17"/>
        <v>155</v>
      </c>
      <c r="O129">
        <f t="shared" si="18"/>
        <v>3</v>
      </c>
      <c r="P129" t="str">
        <f t="shared" si="28"/>
        <v>AGAGACAGGAGCCTTCGGTGACGGATGTGCGGACCAGAGGCCT</v>
      </c>
    </row>
    <row r="130" spans="1:16" x14ac:dyDescent="0.25">
      <c r="A130">
        <v>2061988</v>
      </c>
      <c r="B130" t="s">
        <v>20</v>
      </c>
      <c r="C130" t="s">
        <v>166</v>
      </c>
      <c r="E130">
        <f t="shared" ref="E130:E193" si="30">COUNTIF(A:A,A130)</f>
        <v>15</v>
      </c>
      <c r="F130" t="str">
        <f t="shared" si="29"/>
        <v>2061988_chr16:2062027-2062028:G&gt;A</v>
      </c>
      <c r="G130" s="3" t="s">
        <v>1025</v>
      </c>
      <c r="H130" t="s">
        <v>651</v>
      </c>
      <c r="I130" t="s">
        <v>978</v>
      </c>
      <c r="J130" t="s">
        <v>979</v>
      </c>
      <c r="K130" t="str">
        <f t="shared" si="14"/>
        <v>AGAGACAGGAGCCTTCGGTGTCAGATGTGCGGACCAGAGGCCTGTGAGACCCCCTCCTGGGTAGGGCCTTTGGGCTTTGGCTGGTGGGGAGGGGCCGGGTGCTGGGTGAAGTGCAGCTTTCTGAGCCTCAGAAGCAGGTAGGAGGATAGGCCAGG</v>
      </c>
      <c r="L130" t="str">
        <f t="shared" si="15"/>
        <v>CGGTG</v>
      </c>
      <c r="M130" t="str">
        <f t="shared" si="16"/>
        <v>GATGT</v>
      </c>
      <c r="N130">
        <f t="shared" si="17"/>
        <v>155</v>
      </c>
      <c r="O130">
        <f t="shared" si="18"/>
        <v>3</v>
      </c>
      <c r="P130" t="str">
        <f t="shared" si="28"/>
        <v>AGAGACAGGAGCCTTCGGTGTCAGATGTGCGGACCAGAGGCCT</v>
      </c>
    </row>
    <row r="131" spans="1:16" x14ac:dyDescent="0.25">
      <c r="A131">
        <v>2061988</v>
      </c>
      <c r="B131" t="s">
        <v>20</v>
      </c>
      <c r="C131" t="s">
        <v>167</v>
      </c>
      <c r="E131">
        <f t="shared" si="30"/>
        <v>15</v>
      </c>
      <c r="F131" t="str">
        <f t="shared" si="29"/>
        <v>2061988_chr16:2062028-2062029:G&gt;A</v>
      </c>
      <c r="G131" s="2" t="s">
        <v>1057</v>
      </c>
      <c r="H131" t="s">
        <v>652</v>
      </c>
      <c r="I131" t="s">
        <v>978</v>
      </c>
      <c r="J131" t="s">
        <v>981</v>
      </c>
      <c r="K131" t="str">
        <f t="shared" ref="K131:K194" si="31">(I131&amp;G131&amp;H131&amp;J131)</f>
        <v>AGAGACAGGAGCCTTCGGTGATCGATGTGCGGACCAGAGGCCTGTGAGACCCCCTCCTGGGTGAGGCCTTTGGGCTTTGGCTGGTGGGGAGGGGCCGGGTGCTGGGTGAAGTGCAGCTTTCTGAGCCTCAGAAGCAGGTAGGAGGATAGGCCAGG</v>
      </c>
      <c r="L131" t="str">
        <f t="shared" ref="L131:L194" si="32">RIGHT(I131,5)</f>
        <v>CGGTG</v>
      </c>
      <c r="M131" t="str">
        <f t="shared" ref="M131:M194" si="33">LEFT(H131,5)</f>
        <v>GATGT</v>
      </c>
      <c r="N131">
        <f t="shared" ref="N131:N194" si="34">LEN(K131)</f>
        <v>155</v>
      </c>
      <c r="O131">
        <f t="shared" ref="O131:O194" si="35">LEN(G131)</f>
        <v>3</v>
      </c>
      <c r="P131" t="str">
        <f t="shared" si="28"/>
        <v>AGAGACAGGAGCCTTCGGTGATCGATGTGCGGACCAGAGGCCT</v>
      </c>
    </row>
    <row r="132" spans="1:16" x14ac:dyDescent="0.25">
      <c r="A132">
        <v>2062580</v>
      </c>
      <c r="B132" t="s">
        <v>21</v>
      </c>
      <c r="C132" t="s">
        <v>168</v>
      </c>
      <c r="D132" t="s">
        <v>534</v>
      </c>
      <c r="E132">
        <f t="shared" si="30"/>
        <v>12</v>
      </c>
      <c r="F132" t="str">
        <f>(A132&amp;"_"&amp;D132)</f>
        <v>2062580_wt</v>
      </c>
      <c r="G132" t="s">
        <v>982</v>
      </c>
      <c r="H132" t="s">
        <v>505</v>
      </c>
      <c r="I132" t="s">
        <v>978</v>
      </c>
      <c r="J132" t="s">
        <v>979</v>
      </c>
      <c r="K132" t="str">
        <f t="shared" si="31"/>
        <v>AGAGACAGGAGCCTTCGGTGTACTGATGGAGAGATTCTTCAGGTAGGGGGTCCTCTGTAGCCTTGCCTGGCACCTGGAGCCTGGCCCTGTCTCTGTCTGGGGCCCACCCGGGCTGGGTCTCAGGATGCCCGATGAGGTAGGAGGATAGGCCAGG</v>
      </c>
      <c r="L132" t="str">
        <f t="shared" si="32"/>
        <v>CGGTG</v>
      </c>
      <c r="M132" t="str">
        <f t="shared" si="33"/>
        <v>CTGAT</v>
      </c>
      <c r="N132">
        <f t="shared" si="34"/>
        <v>154</v>
      </c>
      <c r="O132">
        <f t="shared" si="35"/>
        <v>2</v>
      </c>
      <c r="P132" t="str">
        <f t="shared" ref="P132:P156" si="36">LEFT(K132,42)</f>
        <v>AGAGACAGGAGCCTTCGGTGTACTGATGGAGAGATTCTTCAG</v>
      </c>
    </row>
    <row r="133" spans="1:16" x14ac:dyDescent="0.25">
      <c r="A133">
        <v>2062580</v>
      </c>
      <c r="B133" t="s">
        <v>21</v>
      </c>
      <c r="C133" t="s">
        <v>168</v>
      </c>
      <c r="E133">
        <f t="shared" si="30"/>
        <v>12</v>
      </c>
      <c r="F133" t="str">
        <f t="shared" ref="F133:F143" si="37">(A133&amp;"_"&amp;C133)</f>
        <v>2062580_chr16:2062600-2062601:G&gt;-</v>
      </c>
      <c r="G133" t="s">
        <v>983</v>
      </c>
      <c r="H133" t="s">
        <v>653</v>
      </c>
      <c r="I133" t="s">
        <v>978</v>
      </c>
      <c r="J133" t="s">
        <v>979</v>
      </c>
      <c r="K133" t="str">
        <f t="shared" si="31"/>
        <v>AGAGACAGGAGCCTTCGGTGAGCTGATGGAGAGATTCTTCAGTAGGGGGTCCTCTGTAGCCTTGCCTGGCACCTGGAGCCTGGCCCTGTCTCTGTCTGGGGCCCACCCGGGCTGGGTCTCAGGATGCCCGATGAGGTAGGAGGATAGGCCAGG</v>
      </c>
      <c r="L133" t="str">
        <f t="shared" si="32"/>
        <v>CGGTG</v>
      </c>
      <c r="M133" t="str">
        <f t="shared" si="33"/>
        <v>CTGAT</v>
      </c>
      <c r="N133">
        <f t="shared" si="34"/>
        <v>153</v>
      </c>
      <c r="O133">
        <f t="shared" si="35"/>
        <v>2</v>
      </c>
      <c r="P133" t="str">
        <f t="shared" si="36"/>
        <v>AGAGACAGGAGCCTTCGGTGAGCTGATGGAGAGATTCTTCAG</v>
      </c>
    </row>
    <row r="134" spans="1:16" x14ac:dyDescent="0.25">
      <c r="A134">
        <v>2062580</v>
      </c>
      <c r="B134" t="s">
        <v>21</v>
      </c>
      <c r="C134" t="s">
        <v>169</v>
      </c>
      <c r="E134">
        <f t="shared" si="30"/>
        <v>12</v>
      </c>
      <c r="F134" t="str">
        <f t="shared" si="37"/>
        <v>2062580_chr16:2062600-2062601:G&gt;A</v>
      </c>
      <c r="G134" t="s">
        <v>984</v>
      </c>
      <c r="H134" t="s">
        <v>654</v>
      </c>
      <c r="I134" t="s">
        <v>978</v>
      </c>
      <c r="J134" t="s">
        <v>979</v>
      </c>
      <c r="K134" t="str">
        <f t="shared" si="31"/>
        <v>AGAGACAGGAGCCTTCGGTGCACTGATGGAGAGATTCTTCAGATAGGGGGTCCTCTGTAGCCTTGCCTGGCACCTGGAGCCTGGCCCTGTCTCTGTCTGGGGCCCACCCGGGCTGGGTCTCAGGATGCCCGATGAGGTAGGAGGATAGGCCAGG</v>
      </c>
      <c r="L134" t="str">
        <f t="shared" si="32"/>
        <v>CGGTG</v>
      </c>
      <c r="M134" t="str">
        <f t="shared" si="33"/>
        <v>CTGAT</v>
      </c>
      <c r="N134">
        <f t="shared" si="34"/>
        <v>154</v>
      </c>
      <c r="O134">
        <f t="shared" si="35"/>
        <v>2</v>
      </c>
      <c r="P134" t="str">
        <f t="shared" si="36"/>
        <v>AGAGACAGGAGCCTTCGGTGCACTGATGGAGAGATTCTTCAG</v>
      </c>
    </row>
    <row r="135" spans="1:16" x14ac:dyDescent="0.25">
      <c r="A135">
        <v>2062580</v>
      </c>
      <c r="B135" t="s">
        <v>21</v>
      </c>
      <c r="C135" t="s">
        <v>170</v>
      </c>
      <c r="E135">
        <f t="shared" si="30"/>
        <v>12</v>
      </c>
      <c r="F135" t="str">
        <f t="shared" si="37"/>
        <v>2062580_chr16:2062600-2062601:G&gt;T</v>
      </c>
      <c r="G135" t="s">
        <v>985</v>
      </c>
      <c r="H135" t="s">
        <v>655</v>
      </c>
      <c r="I135" t="s">
        <v>978</v>
      </c>
      <c r="J135" t="s">
        <v>979</v>
      </c>
      <c r="K135" t="str">
        <f t="shared" si="31"/>
        <v>AGAGACAGGAGCCTTCGGTGATCTGATGGAGAGATTCTTCAGTTAGGGGGTCCTCTGTAGCCTTGCCTGGCACCTGGAGCCTGGCCCTGTCTCTGTCTGGGGCCCACCCGGGCTGGGTCTCAGGATGCCCGATGAGGTAGGAGGATAGGCCAGG</v>
      </c>
      <c r="L135" t="str">
        <f t="shared" si="32"/>
        <v>CGGTG</v>
      </c>
      <c r="M135" t="str">
        <f t="shared" si="33"/>
        <v>CTGAT</v>
      </c>
      <c r="N135">
        <f t="shared" si="34"/>
        <v>154</v>
      </c>
      <c r="O135">
        <f t="shared" si="35"/>
        <v>2</v>
      </c>
      <c r="P135" t="str">
        <f t="shared" si="36"/>
        <v>AGAGACAGGAGCCTTCGGTGATCTGATGGAGAGATTCTTCAG</v>
      </c>
    </row>
    <row r="136" spans="1:16" x14ac:dyDescent="0.25">
      <c r="A136">
        <v>2062580</v>
      </c>
      <c r="B136" t="s">
        <v>21</v>
      </c>
      <c r="C136" t="s">
        <v>171</v>
      </c>
      <c r="E136">
        <f t="shared" si="30"/>
        <v>12</v>
      </c>
      <c r="F136" t="str">
        <f t="shared" si="37"/>
        <v>2062580_chr16:2062601-2062602:T&gt;C</v>
      </c>
      <c r="G136" t="s">
        <v>1019</v>
      </c>
      <c r="H136" t="s">
        <v>656</v>
      </c>
      <c r="I136" t="s">
        <v>978</v>
      </c>
      <c r="J136" t="s">
        <v>979</v>
      </c>
      <c r="K136" t="str">
        <f t="shared" si="31"/>
        <v>AGAGACAGGAGCCTTCGGTGTGCTGATGGAGAGATTCTTCAGGCAGGGGGTCCTCTGTAGCCTTGCCTGGCACCTGGAGCCTGGCCCTGTCTCTGTCTGGGGCCCACCCGGGCTGGGTCTCAGGATGCCCGATGAGGTAGGAGGATAGGCCAGG</v>
      </c>
      <c r="L136" t="str">
        <f t="shared" si="32"/>
        <v>CGGTG</v>
      </c>
      <c r="M136" t="str">
        <f t="shared" si="33"/>
        <v>CTGAT</v>
      </c>
      <c r="N136">
        <f t="shared" si="34"/>
        <v>154</v>
      </c>
      <c r="O136">
        <f t="shared" si="35"/>
        <v>2</v>
      </c>
      <c r="P136" t="str">
        <f t="shared" si="36"/>
        <v>AGAGACAGGAGCCTTCGGTGTGCTGATGGAGAGATTCTTCAG</v>
      </c>
    </row>
    <row r="137" spans="1:16" x14ac:dyDescent="0.25">
      <c r="A137">
        <v>2062580</v>
      </c>
      <c r="B137" t="s">
        <v>21</v>
      </c>
      <c r="C137" t="s">
        <v>172</v>
      </c>
      <c r="E137">
        <f t="shared" si="30"/>
        <v>12</v>
      </c>
      <c r="F137" t="str">
        <f t="shared" si="37"/>
        <v>2062580_chr16:2062601-2062602:T&gt;G</v>
      </c>
      <c r="G137" s="4" t="s">
        <v>1062</v>
      </c>
      <c r="H137" t="s">
        <v>657</v>
      </c>
      <c r="I137" t="s">
        <v>978</v>
      </c>
      <c r="J137" t="s">
        <v>979</v>
      </c>
      <c r="K137" t="str">
        <f t="shared" si="31"/>
        <v>AGAGACAGGAGCCTTCGGTGAACTGATGGAGAGATTCTTCAGGGAGGGGGTCCTCTGTAGCCTTGCCTGGCACCTGGAGCCTGGCCCTGTCTCTGTCTGGGGCCCACCCGGGCTGGGTCTCAGGATGCCCGATGAGGTAGGAGGATAGGCCAGG</v>
      </c>
      <c r="L137" t="str">
        <f t="shared" si="32"/>
        <v>CGGTG</v>
      </c>
      <c r="M137" t="str">
        <f t="shared" si="33"/>
        <v>CTGAT</v>
      </c>
      <c r="N137">
        <f t="shared" si="34"/>
        <v>154</v>
      </c>
      <c r="O137">
        <f t="shared" si="35"/>
        <v>2</v>
      </c>
      <c r="P137" t="str">
        <f t="shared" si="36"/>
        <v>AGAGACAGGAGCCTTCGGTGAACTGATGGAGAGATTCTTCAG</v>
      </c>
    </row>
    <row r="138" spans="1:16" x14ac:dyDescent="0.25">
      <c r="A138">
        <v>2062580</v>
      </c>
      <c r="B138" t="s">
        <v>21</v>
      </c>
      <c r="C138" t="s">
        <v>173</v>
      </c>
      <c r="E138">
        <f t="shared" si="30"/>
        <v>12</v>
      </c>
      <c r="F138" t="str">
        <f t="shared" si="37"/>
        <v>2062580_chr16:2062608-2062609:T&gt;C</v>
      </c>
      <c r="G138" t="s">
        <v>987</v>
      </c>
      <c r="H138" t="s">
        <v>658</v>
      </c>
      <c r="I138" t="s">
        <v>978</v>
      </c>
      <c r="J138" t="s">
        <v>979</v>
      </c>
      <c r="K138" t="str">
        <f t="shared" si="31"/>
        <v>AGAGACAGGAGCCTTCGGTGGCCTGATGGAGAGATTCTTCAGGTAGGGGGCCCTCTGTAGCCTTGCCTGGCACCTGGAGCCTGGCCCTGTCTCTGTCTGGGGCCCACCCGGGCTGGGTCTCAGGATGCCCGATGAGGTAGGAGGATAGGCCAGG</v>
      </c>
      <c r="L138" t="str">
        <f t="shared" si="32"/>
        <v>CGGTG</v>
      </c>
      <c r="M138" t="str">
        <f t="shared" si="33"/>
        <v>CTGAT</v>
      </c>
      <c r="N138">
        <f t="shared" si="34"/>
        <v>154</v>
      </c>
      <c r="O138">
        <f t="shared" si="35"/>
        <v>2</v>
      </c>
      <c r="P138" t="str">
        <f t="shared" si="36"/>
        <v>AGAGACAGGAGCCTTCGGTGGCCTGATGGAGAGATTCTTCAG</v>
      </c>
    </row>
    <row r="139" spans="1:16" x14ac:dyDescent="0.25">
      <c r="A139">
        <v>2062580</v>
      </c>
      <c r="B139" t="s">
        <v>21</v>
      </c>
      <c r="C139" t="s">
        <v>174</v>
      </c>
      <c r="E139">
        <f t="shared" si="30"/>
        <v>12</v>
      </c>
      <c r="F139" t="str">
        <f t="shared" si="37"/>
        <v>2062580_chr16:2062612-2062613:C&gt;T</v>
      </c>
      <c r="G139" t="s">
        <v>988</v>
      </c>
      <c r="H139" t="s">
        <v>659</v>
      </c>
      <c r="I139" t="s">
        <v>978</v>
      </c>
      <c r="J139" t="s">
        <v>979</v>
      </c>
      <c r="K139" t="str">
        <f t="shared" si="31"/>
        <v>AGAGACAGGAGCCTTCGGTGACCTGATGGAGAGATTCTTCAGGTAGGGGGTCCTTTGTAGCCTTGCCTGGCACCTGGAGCCTGGCCCTGTCTCTGTCTGGGGCCCACCCGGGCTGGGTCTCAGGATGCCCGATGAGGTAGGAGGATAGGCCAGG</v>
      </c>
      <c r="L139" t="str">
        <f t="shared" si="32"/>
        <v>CGGTG</v>
      </c>
      <c r="M139" t="str">
        <f t="shared" si="33"/>
        <v>CTGAT</v>
      </c>
      <c r="N139">
        <f t="shared" si="34"/>
        <v>154</v>
      </c>
      <c r="O139">
        <f t="shared" si="35"/>
        <v>2</v>
      </c>
      <c r="P139" t="str">
        <f t="shared" si="36"/>
        <v>AGAGACAGGAGCCTTCGGTGACCTGATGGAGAGATTCTTCAG</v>
      </c>
    </row>
    <row r="140" spans="1:16" x14ac:dyDescent="0.25">
      <c r="A140">
        <v>2062580</v>
      </c>
      <c r="B140" t="s">
        <v>21</v>
      </c>
      <c r="C140" t="s">
        <v>175</v>
      </c>
      <c r="E140">
        <f t="shared" si="30"/>
        <v>12</v>
      </c>
      <c r="F140" t="str">
        <f t="shared" si="37"/>
        <v>2062580_chr16:2062615-2062616:T&gt;G</v>
      </c>
      <c r="G140" t="s">
        <v>989</v>
      </c>
      <c r="H140" t="s">
        <v>660</v>
      </c>
      <c r="I140" t="s">
        <v>978</v>
      </c>
      <c r="J140" t="s">
        <v>979</v>
      </c>
      <c r="K140" t="str">
        <f t="shared" si="31"/>
        <v>AGAGACAGGAGCCTTCGGTGCGCTGATGGAGAGATTCTTCAGGTAGGGGGTCCTCTGGAGCCTTGCCTGGCACCTGGAGCCTGGCCCTGTCTCTGTCTGGGGCCCACCCGGGCTGGGTCTCAGGATGCCCGATGAGGTAGGAGGATAGGCCAGG</v>
      </c>
      <c r="L140" t="str">
        <f t="shared" si="32"/>
        <v>CGGTG</v>
      </c>
      <c r="M140" t="str">
        <f t="shared" si="33"/>
        <v>CTGAT</v>
      </c>
      <c r="N140">
        <f t="shared" si="34"/>
        <v>154</v>
      </c>
      <c r="O140">
        <f t="shared" si="35"/>
        <v>2</v>
      </c>
      <c r="P140" t="str">
        <f t="shared" si="36"/>
        <v>AGAGACAGGAGCCTTCGGTGCGCTGATGGAGAGATTCTTCAG</v>
      </c>
    </row>
    <row r="141" spans="1:16" x14ac:dyDescent="0.25">
      <c r="A141">
        <v>2062580</v>
      </c>
      <c r="B141" t="s">
        <v>21</v>
      </c>
      <c r="C141" t="s">
        <v>176</v>
      </c>
      <c r="E141">
        <f t="shared" si="30"/>
        <v>12</v>
      </c>
      <c r="F141" t="str">
        <f t="shared" si="37"/>
        <v>2062580_chr16:2062617-2062618:G&gt;C</v>
      </c>
      <c r="G141" t="s">
        <v>990</v>
      </c>
      <c r="H141" t="s">
        <v>661</v>
      </c>
      <c r="I141" t="s">
        <v>978</v>
      </c>
      <c r="J141" t="s">
        <v>979</v>
      </c>
      <c r="K141" t="str">
        <f t="shared" si="31"/>
        <v>AGAGACAGGAGCCTTCGGTGGTCTGATGGAGAGATTCTTCAGGTAGGGGGTCCTCTGTACCCTTGCCTGGCACCTGGAGCCTGGCCCTGTCTCTGTCTGGGGCCCACCCGGGCTGGGTCTCAGGATGCCCGATGAGGTAGGAGGATAGGCCAGG</v>
      </c>
      <c r="L141" t="str">
        <f t="shared" si="32"/>
        <v>CGGTG</v>
      </c>
      <c r="M141" t="str">
        <f t="shared" si="33"/>
        <v>CTGAT</v>
      </c>
      <c r="N141">
        <f t="shared" si="34"/>
        <v>154</v>
      </c>
      <c r="O141">
        <f t="shared" si="35"/>
        <v>2</v>
      </c>
      <c r="P141" t="str">
        <f t="shared" si="36"/>
        <v>AGAGACAGGAGCCTTCGGTGGTCTGATGGAGAGATTCTTCAG</v>
      </c>
    </row>
    <row r="142" spans="1:16" x14ac:dyDescent="0.25">
      <c r="A142">
        <v>2062580</v>
      </c>
      <c r="B142" t="s">
        <v>21</v>
      </c>
      <c r="C142" t="s">
        <v>177</v>
      </c>
      <c r="E142">
        <f t="shared" si="30"/>
        <v>12</v>
      </c>
      <c r="F142" t="str">
        <f t="shared" si="37"/>
        <v>2062580_chr16:2062619-2062620:C&gt;G</v>
      </c>
      <c r="G142" t="s">
        <v>991</v>
      </c>
      <c r="H142" t="s">
        <v>662</v>
      </c>
      <c r="I142" t="s">
        <v>978</v>
      </c>
      <c r="J142" t="s">
        <v>979</v>
      </c>
      <c r="K142" t="str">
        <f t="shared" si="31"/>
        <v>AGAGACAGGAGCCTTCGGTGGACTGATGGAGAGATTCTTCAGGTAGGGGGTCCTCTGTAGCGTTGCCTGGCACCTGGAGCCTGGCCCTGTCTCTGTCTGGGGCCCACCCGGGCTGGGTCTCAGGATGCCCGATGAGGTAGGAGGATAGGCCAGG</v>
      </c>
      <c r="L142" t="str">
        <f t="shared" si="32"/>
        <v>CGGTG</v>
      </c>
      <c r="M142" t="str">
        <f t="shared" si="33"/>
        <v>CTGAT</v>
      </c>
      <c r="N142">
        <f t="shared" si="34"/>
        <v>154</v>
      </c>
      <c r="O142">
        <f t="shared" si="35"/>
        <v>2</v>
      </c>
      <c r="P142" t="str">
        <f t="shared" si="36"/>
        <v>AGAGACAGGAGCCTTCGGTGGACTGATGGAGAGATTCTTCAG</v>
      </c>
    </row>
    <row r="143" spans="1:16" x14ac:dyDescent="0.25">
      <c r="A143">
        <v>2062580</v>
      </c>
      <c r="B143" t="s">
        <v>21</v>
      </c>
      <c r="C143" t="s">
        <v>178</v>
      </c>
      <c r="E143">
        <f t="shared" si="30"/>
        <v>12</v>
      </c>
      <c r="F143" t="str">
        <f t="shared" si="37"/>
        <v>2062580_chr16:2062653-2062657:TCTG&gt;-</v>
      </c>
      <c r="G143" t="s">
        <v>992</v>
      </c>
      <c r="H143" t="s">
        <v>663</v>
      </c>
      <c r="I143" t="s">
        <v>978</v>
      </c>
      <c r="J143" t="s">
        <v>979</v>
      </c>
      <c r="K143" t="str">
        <f t="shared" si="31"/>
        <v>AGAGACAGGAGCCTTCGGTGTCCTGATGGAGAGATTCTTCAGGTAGGGGGTCCTCTGTAGCCTTGCCTGGCACCTGGAGCCTGGCCCTGTCTCTGGGGCCCACCCGGGCTGGGTCTCAGGATGCCCGATGAGGTAGGAGGATAGGCCAGG</v>
      </c>
      <c r="L143" t="str">
        <f t="shared" si="32"/>
        <v>CGGTG</v>
      </c>
      <c r="M143" t="str">
        <f t="shared" si="33"/>
        <v>CTGAT</v>
      </c>
      <c r="N143">
        <f t="shared" si="34"/>
        <v>150</v>
      </c>
      <c r="O143">
        <f t="shared" si="35"/>
        <v>2</v>
      </c>
      <c r="P143" t="str">
        <f t="shared" si="36"/>
        <v>AGAGACAGGAGCCTTCGGTGTCCTGATGGAGAGATTCTTCAG</v>
      </c>
    </row>
    <row r="144" spans="1:16" x14ac:dyDescent="0.25">
      <c r="A144">
        <v>2063033</v>
      </c>
      <c r="B144" t="s">
        <v>22</v>
      </c>
      <c r="C144" t="s">
        <v>179</v>
      </c>
      <c r="D144" t="s">
        <v>534</v>
      </c>
      <c r="E144">
        <f t="shared" si="30"/>
        <v>13</v>
      </c>
      <c r="F144" t="str">
        <f>(A144&amp;"_"&amp;D144)</f>
        <v>2063033_wt</v>
      </c>
      <c r="G144" t="s">
        <v>982</v>
      </c>
      <c r="H144" t="s">
        <v>506</v>
      </c>
      <c r="I144" t="s">
        <v>978</v>
      </c>
      <c r="J144" t="s">
        <v>979</v>
      </c>
      <c r="K144" t="str">
        <f t="shared" si="31"/>
        <v>AGAGACAGGAGCCTTCGGTGTATCAACAGGCAGTTCTATGAGGTGCGTGTCCAGGCGGCCGCAGCTGGGGGCTCAGGGCTATTTCTCCGTGGGCGGGCTGTCTCTGTTGTGCACGTGCTCCCGCAGAGCCGGGCAGGTAGGAGGATAGGCCAGG</v>
      </c>
      <c r="L144" t="str">
        <f t="shared" si="32"/>
        <v>CGGTG</v>
      </c>
      <c r="M144" t="str">
        <f t="shared" si="33"/>
        <v>TCAAC</v>
      </c>
      <c r="N144">
        <f t="shared" si="34"/>
        <v>154</v>
      </c>
      <c r="O144">
        <f t="shared" si="35"/>
        <v>2</v>
      </c>
      <c r="P144" t="str">
        <f t="shared" si="36"/>
        <v>AGAGACAGGAGCCTTCGGTGTATCAACAGGCAGTTCTATGAG</v>
      </c>
    </row>
    <row r="145" spans="1:16" x14ac:dyDescent="0.25">
      <c r="A145">
        <v>2063033</v>
      </c>
      <c r="B145" t="s">
        <v>22</v>
      </c>
      <c r="C145" t="s">
        <v>179</v>
      </c>
      <c r="E145">
        <f t="shared" si="30"/>
        <v>13</v>
      </c>
      <c r="F145" t="str">
        <f t="shared" ref="F145:F156" si="38">(A145&amp;"_"&amp;C145)</f>
        <v>2063033_chr16:2063053-2063054:G&gt;A</v>
      </c>
      <c r="G145" t="s">
        <v>983</v>
      </c>
      <c r="H145" t="s">
        <v>664</v>
      </c>
      <c r="I145" t="s">
        <v>978</v>
      </c>
      <c r="J145" t="s">
        <v>979</v>
      </c>
      <c r="K145" t="str">
        <f t="shared" si="31"/>
        <v>AGAGACAGGAGCCTTCGGTGAGTCAACAGGCAGTTCTATGAGATGCGTGTCCAGGCGGCCGCAGCTGGGGGCTCAGGGCTATTTCTCCGTGGGCGGGCTGTCTCTGTTGTGCACGTGCTCCCGCAGAGCCGGGCAGGTAGGAGGATAGGCCAGG</v>
      </c>
      <c r="L145" t="str">
        <f t="shared" si="32"/>
        <v>CGGTG</v>
      </c>
      <c r="M145" t="str">
        <f t="shared" si="33"/>
        <v>TCAAC</v>
      </c>
      <c r="N145">
        <f t="shared" si="34"/>
        <v>154</v>
      </c>
      <c r="O145">
        <f t="shared" si="35"/>
        <v>2</v>
      </c>
      <c r="P145" t="str">
        <f t="shared" si="36"/>
        <v>AGAGACAGGAGCCTTCGGTGAGTCAACAGGCAGTTCTATGAG</v>
      </c>
    </row>
    <row r="146" spans="1:16" x14ac:dyDescent="0.25">
      <c r="A146">
        <v>2063033</v>
      </c>
      <c r="B146" t="s">
        <v>22</v>
      </c>
      <c r="C146" t="s">
        <v>180</v>
      </c>
      <c r="E146">
        <f t="shared" si="30"/>
        <v>13</v>
      </c>
      <c r="F146" t="str">
        <f t="shared" si="38"/>
        <v>2063033_chr16:2063053-2063054:G&gt;T</v>
      </c>
      <c r="G146" t="s">
        <v>984</v>
      </c>
      <c r="H146" t="s">
        <v>665</v>
      </c>
      <c r="I146" t="s">
        <v>978</v>
      </c>
      <c r="J146" t="s">
        <v>979</v>
      </c>
      <c r="K146" t="str">
        <f t="shared" si="31"/>
        <v>AGAGACAGGAGCCTTCGGTGCATCAACAGGCAGTTCTATGAGTTGCGTGTCCAGGCGGCCGCAGCTGGGGGCTCAGGGCTATTTCTCCGTGGGCGGGCTGTCTCTGTTGTGCACGTGCTCCCGCAGAGCCGGGCAGGTAGGAGGATAGGCCAGG</v>
      </c>
      <c r="L146" t="str">
        <f t="shared" si="32"/>
        <v>CGGTG</v>
      </c>
      <c r="M146" t="str">
        <f t="shared" si="33"/>
        <v>TCAAC</v>
      </c>
      <c r="N146">
        <f t="shared" si="34"/>
        <v>154</v>
      </c>
      <c r="O146">
        <f t="shared" si="35"/>
        <v>2</v>
      </c>
      <c r="P146" t="str">
        <f t="shared" si="36"/>
        <v>AGAGACAGGAGCCTTCGGTGCATCAACAGGCAGTTCTATGAG</v>
      </c>
    </row>
    <row r="147" spans="1:16" x14ac:dyDescent="0.25">
      <c r="A147">
        <v>2063033</v>
      </c>
      <c r="B147" t="s">
        <v>22</v>
      </c>
      <c r="C147" t="s">
        <v>181</v>
      </c>
      <c r="E147">
        <f t="shared" si="30"/>
        <v>13</v>
      </c>
      <c r="F147" t="str">
        <f t="shared" si="38"/>
        <v>2063033_chr16:2063054-2063055:T&gt;G</v>
      </c>
      <c r="G147" t="s">
        <v>985</v>
      </c>
      <c r="H147" t="s">
        <v>666</v>
      </c>
      <c r="I147" t="s">
        <v>978</v>
      </c>
      <c r="J147" t="s">
        <v>979</v>
      </c>
      <c r="K147" t="str">
        <f t="shared" si="31"/>
        <v>AGAGACAGGAGCCTTCGGTGATTCAACAGGCAGTTCTATGAGGGGCGTGTCCAGGCGGCCGCAGCTGGGGGCTCAGGGCTATTTCTCCGTGGGCGGGCTGTCTCTGTTGTGCACGTGCTCCCGCAGAGCCGGGCAGGTAGGAGGATAGGCCAGG</v>
      </c>
      <c r="L147" t="str">
        <f t="shared" si="32"/>
        <v>CGGTG</v>
      </c>
      <c r="M147" t="str">
        <f t="shared" si="33"/>
        <v>TCAAC</v>
      </c>
      <c r="N147">
        <f t="shared" si="34"/>
        <v>154</v>
      </c>
      <c r="O147">
        <f t="shared" si="35"/>
        <v>2</v>
      </c>
      <c r="P147" t="str">
        <f t="shared" si="36"/>
        <v>AGAGACAGGAGCCTTCGGTGATTCAACAGGCAGTTCTATGAG</v>
      </c>
    </row>
    <row r="148" spans="1:16" x14ac:dyDescent="0.25">
      <c r="A148">
        <v>2063033</v>
      </c>
      <c r="B148" t="s">
        <v>22</v>
      </c>
      <c r="C148" t="s">
        <v>182</v>
      </c>
      <c r="E148">
        <f t="shared" si="30"/>
        <v>13</v>
      </c>
      <c r="F148" t="str">
        <f t="shared" si="38"/>
        <v>2063033_chr16:2063056-2063057:C&gt;T</v>
      </c>
      <c r="G148" t="s">
        <v>1011</v>
      </c>
      <c r="H148" t="s">
        <v>667</v>
      </c>
      <c r="I148" t="s">
        <v>978</v>
      </c>
      <c r="J148" t="s">
        <v>981</v>
      </c>
      <c r="K148" t="str">
        <f t="shared" si="31"/>
        <v>AGAGACAGGAGCCTTCGGTGTGTCAACAGGCAGTTCTATGAGGTGTGTGTCCAGGCGGCCGCAGCTGGGGGCTCAGGGCTATTTCTCCGTGGGCGGGCTGTCTCTGTTGTGCACGTGCTCCCGCAGAGCCGGGCAGGTAGGAGGATAGGCCAGG</v>
      </c>
      <c r="L148" t="str">
        <f t="shared" si="32"/>
        <v>CGGTG</v>
      </c>
      <c r="M148" t="str">
        <f t="shared" si="33"/>
        <v>TCAAC</v>
      </c>
      <c r="N148">
        <f t="shared" si="34"/>
        <v>154</v>
      </c>
      <c r="O148">
        <f t="shared" si="35"/>
        <v>2</v>
      </c>
      <c r="P148" t="str">
        <f t="shared" si="36"/>
        <v>AGAGACAGGAGCCTTCGGTGTGTCAACAGGCAGTTCTATGAG</v>
      </c>
    </row>
    <row r="149" spans="1:16" x14ac:dyDescent="0.25">
      <c r="A149">
        <v>2063033</v>
      </c>
      <c r="B149" t="s">
        <v>22</v>
      </c>
      <c r="C149" t="s">
        <v>183</v>
      </c>
      <c r="E149">
        <f t="shared" si="30"/>
        <v>13</v>
      </c>
      <c r="F149" t="str">
        <f t="shared" si="38"/>
        <v>2063033_chr16:2063057-2063058:G&gt;A</v>
      </c>
      <c r="G149" s="4" t="s">
        <v>1063</v>
      </c>
      <c r="H149" t="s">
        <v>668</v>
      </c>
      <c r="I149" t="s">
        <v>978</v>
      </c>
      <c r="J149" t="s">
        <v>979</v>
      </c>
      <c r="K149" t="str">
        <f t="shared" si="31"/>
        <v>AGAGACAGGAGCCTTCGGTGAATCAACAGGCAGTTCTATGAGGTGCATGTCCAGGCGGCCGCAGCTGGGGGCTCAGGGCTATTTCTCCGTGGGCGGGCTGTCTCTGTTGTGCACGTGCTCCCGCAGAGCCGGGCAGGTAGGAGGATAGGCCAGG</v>
      </c>
      <c r="L149" t="str">
        <f t="shared" si="32"/>
        <v>CGGTG</v>
      </c>
      <c r="M149" t="str">
        <f t="shared" si="33"/>
        <v>TCAAC</v>
      </c>
      <c r="N149">
        <f t="shared" si="34"/>
        <v>154</v>
      </c>
      <c r="O149">
        <f t="shared" si="35"/>
        <v>2</v>
      </c>
      <c r="P149" t="str">
        <f t="shared" si="36"/>
        <v>AGAGACAGGAGCCTTCGGTGAATCAACAGGCAGTTCTATGAG</v>
      </c>
    </row>
    <row r="150" spans="1:16" x14ac:dyDescent="0.25">
      <c r="A150">
        <v>2063033</v>
      </c>
      <c r="B150" t="s">
        <v>22</v>
      </c>
      <c r="C150" t="s">
        <v>184</v>
      </c>
      <c r="E150">
        <f t="shared" si="30"/>
        <v>13</v>
      </c>
      <c r="F150" t="str">
        <f t="shared" si="38"/>
        <v>2063033_chr16:2063057-2063058:G&gt;C</v>
      </c>
      <c r="G150" t="s">
        <v>987</v>
      </c>
      <c r="H150" t="s">
        <v>669</v>
      </c>
      <c r="I150" t="s">
        <v>978</v>
      </c>
      <c r="J150" t="s">
        <v>979</v>
      </c>
      <c r="K150" t="str">
        <f t="shared" si="31"/>
        <v>AGAGACAGGAGCCTTCGGTGGCTCAACAGGCAGTTCTATGAGGTGCCTGTCCAGGCGGCCGCAGCTGGGGGCTCAGGGCTATTTCTCCGTGGGCGGGCTGTCTCTGTTGTGCACGTGCTCCCGCAGAGCCGGGCAGGTAGGAGGATAGGCCAGG</v>
      </c>
      <c r="L150" t="str">
        <f t="shared" si="32"/>
        <v>CGGTG</v>
      </c>
      <c r="M150" t="str">
        <f t="shared" si="33"/>
        <v>TCAAC</v>
      </c>
      <c r="N150">
        <f t="shared" si="34"/>
        <v>154</v>
      </c>
      <c r="O150">
        <f t="shared" si="35"/>
        <v>2</v>
      </c>
      <c r="P150" t="str">
        <f t="shared" si="36"/>
        <v>AGAGACAGGAGCCTTCGGTGGCTCAACAGGCAGTTCTATGAG</v>
      </c>
    </row>
    <row r="151" spans="1:16" x14ac:dyDescent="0.25">
      <c r="A151">
        <v>2063033</v>
      </c>
      <c r="B151" t="s">
        <v>22</v>
      </c>
      <c r="C151" t="s">
        <v>185</v>
      </c>
      <c r="E151">
        <f t="shared" si="30"/>
        <v>13</v>
      </c>
      <c r="F151" t="str">
        <f t="shared" si="38"/>
        <v>2063033_chr16:2063059-2063060:G&gt;A</v>
      </c>
      <c r="G151" t="s">
        <v>988</v>
      </c>
      <c r="H151" t="s">
        <v>670</v>
      </c>
      <c r="I151" t="s">
        <v>978</v>
      </c>
      <c r="J151" t="s">
        <v>979</v>
      </c>
      <c r="K151" t="str">
        <f t="shared" si="31"/>
        <v>AGAGACAGGAGCCTTCGGTGACTCAACAGGCAGTTCTATGAGGTGCGTATCCAGGCGGCCGCAGCTGGGGGCTCAGGGCTATTTCTCCGTGGGCGGGCTGTCTCTGTTGTGCACGTGCTCCCGCAGAGCCGGGCAGGTAGGAGGATAGGCCAGG</v>
      </c>
      <c r="L151" t="str">
        <f t="shared" si="32"/>
        <v>CGGTG</v>
      </c>
      <c r="M151" t="str">
        <f t="shared" si="33"/>
        <v>TCAAC</v>
      </c>
      <c r="N151">
        <f t="shared" si="34"/>
        <v>154</v>
      </c>
      <c r="O151">
        <f t="shared" si="35"/>
        <v>2</v>
      </c>
      <c r="P151" t="str">
        <f t="shared" si="36"/>
        <v>AGAGACAGGAGCCTTCGGTGACTCAACAGGCAGTTCTATGAG</v>
      </c>
    </row>
    <row r="152" spans="1:16" x14ac:dyDescent="0.25">
      <c r="A152">
        <v>2063033</v>
      </c>
      <c r="B152" t="s">
        <v>22</v>
      </c>
      <c r="C152" t="s">
        <v>186</v>
      </c>
      <c r="E152">
        <f t="shared" si="30"/>
        <v>13</v>
      </c>
      <c r="F152" t="str">
        <f t="shared" si="38"/>
        <v>2063033_chr16:2063066-2063067:C&gt;A</v>
      </c>
      <c r="G152" t="s">
        <v>989</v>
      </c>
      <c r="H152" t="s">
        <v>671</v>
      </c>
      <c r="I152" t="s">
        <v>978</v>
      </c>
      <c r="J152" t="s">
        <v>979</v>
      </c>
      <c r="K152" t="str">
        <f t="shared" si="31"/>
        <v>AGAGACAGGAGCCTTCGGTGCGTCAACAGGCAGTTCTATGAGGTGCGTGTCCAGGAGGCCGCAGCTGGGGGCTCAGGGCTATTTCTCCGTGGGCGGGCTGTCTCTGTTGTGCACGTGCTCCCGCAGAGCCGGGCAGGTAGGAGGATAGGCCAGG</v>
      </c>
      <c r="L152" t="str">
        <f t="shared" si="32"/>
        <v>CGGTG</v>
      </c>
      <c r="M152" t="str">
        <f t="shared" si="33"/>
        <v>TCAAC</v>
      </c>
      <c r="N152">
        <f t="shared" si="34"/>
        <v>154</v>
      </c>
      <c r="O152">
        <f t="shared" si="35"/>
        <v>2</v>
      </c>
      <c r="P152" t="str">
        <f t="shared" si="36"/>
        <v>AGAGACAGGAGCCTTCGGTGCGTCAACAGGCAGTTCTATGAG</v>
      </c>
    </row>
    <row r="153" spans="1:16" x14ac:dyDescent="0.25">
      <c r="A153">
        <v>2063033</v>
      </c>
      <c r="B153" t="s">
        <v>22</v>
      </c>
      <c r="C153" t="s">
        <v>187</v>
      </c>
      <c r="E153">
        <f t="shared" si="30"/>
        <v>13</v>
      </c>
      <c r="F153" t="str">
        <f t="shared" si="38"/>
        <v>2063033_chr16:2063066-2063067:C&gt;T</v>
      </c>
      <c r="G153" t="s">
        <v>990</v>
      </c>
      <c r="H153" t="s">
        <v>672</v>
      </c>
      <c r="I153" t="s">
        <v>978</v>
      </c>
      <c r="J153" t="s">
        <v>979</v>
      </c>
      <c r="K153" t="str">
        <f t="shared" si="31"/>
        <v>AGAGACAGGAGCCTTCGGTGGTTCAACAGGCAGTTCTATGAGGTGCGTGTCCAGGTGGCCGCAGCTGGGGGCTCAGGGCTATTTCTCCGTGGGCGGGCTGTCTCTGTTGTGCACGTGCTCCCGCAGAGCCGGGCAGGTAGGAGGATAGGCCAGG</v>
      </c>
      <c r="L153" t="str">
        <f t="shared" si="32"/>
        <v>CGGTG</v>
      </c>
      <c r="M153" t="str">
        <f t="shared" si="33"/>
        <v>TCAAC</v>
      </c>
      <c r="N153">
        <f t="shared" si="34"/>
        <v>154</v>
      </c>
      <c r="O153">
        <f t="shared" si="35"/>
        <v>2</v>
      </c>
      <c r="P153" t="str">
        <f t="shared" si="36"/>
        <v>AGAGACAGGAGCCTTCGGTGGTTCAACAGGCAGTTCTATGAG</v>
      </c>
    </row>
    <row r="154" spans="1:16" x14ac:dyDescent="0.25">
      <c r="A154">
        <v>2063033</v>
      </c>
      <c r="B154" t="s">
        <v>22</v>
      </c>
      <c r="C154" t="s">
        <v>188</v>
      </c>
      <c r="E154">
        <f t="shared" si="30"/>
        <v>13</v>
      </c>
      <c r="F154" t="str">
        <f t="shared" si="38"/>
        <v>2063033_chr16:2063067-2063068:G&gt;A</v>
      </c>
      <c r="G154" t="s">
        <v>991</v>
      </c>
      <c r="H154" t="s">
        <v>673</v>
      </c>
      <c r="I154" t="s">
        <v>980</v>
      </c>
      <c r="J154" t="s">
        <v>979</v>
      </c>
      <c r="K154" t="str">
        <f t="shared" si="31"/>
        <v>AGAGACAGGAGCCTTCGGTGGATCAACAGGCAGTTCTATGAGGTGCGTGTCCAGGCAGCCGCAGCTGGGGGCTCAGGGCTATTTCTCCGTGGGCGGGCTGTCTCTGTTGTGCACGTGCTCCCGCAGAGCCGGGCAGGTAGGAGGATAGGCCAGG</v>
      </c>
      <c r="L154" t="str">
        <f t="shared" si="32"/>
        <v>CGGTG</v>
      </c>
      <c r="M154" t="str">
        <f t="shared" si="33"/>
        <v>TCAAC</v>
      </c>
      <c r="N154">
        <f t="shared" si="34"/>
        <v>154</v>
      </c>
      <c r="O154">
        <f t="shared" si="35"/>
        <v>2</v>
      </c>
      <c r="P154" t="str">
        <f t="shared" si="36"/>
        <v>AGAGACAGGAGCCTTCGGTGGATCAACAGGCAGTTCTATGAG</v>
      </c>
    </row>
    <row r="155" spans="1:16" x14ac:dyDescent="0.25">
      <c r="A155">
        <v>2063033</v>
      </c>
      <c r="B155" t="s">
        <v>22</v>
      </c>
      <c r="C155" t="s">
        <v>189</v>
      </c>
      <c r="E155">
        <f t="shared" si="30"/>
        <v>13</v>
      </c>
      <c r="F155" t="str">
        <f t="shared" si="38"/>
        <v>2063033_chr16:2063070-2063071:C&gt;T</v>
      </c>
      <c r="G155" t="s">
        <v>992</v>
      </c>
      <c r="H155" t="s">
        <v>674</v>
      </c>
      <c r="I155" t="s">
        <v>978</v>
      </c>
      <c r="J155" t="s">
        <v>979</v>
      </c>
      <c r="K155" t="str">
        <f t="shared" si="31"/>
        <v>AGAGACAGGAGCCTTCGGTGTCTCAACAGGCAGTTCTATGAGGTGCGTGTCCAGGCGGCTGCAGCTGGGGGCTCAGGGCTATTTCTCCGTGGGCGGGCTGTCTCTGTTGTGCACGTGCTCCCGCAGAGCCGGGCAGGTAGGAGGATAGGCCAGG</v>
      </c>
      <c r="L155" t="str">
        <f t="shared" si="32"/>
        <v>CGGTG</v>
      </c>
      <c r="M155" t="str">
        <f t="shared" si="33"/>
        <v>TCAAC</v>
      </c>
      <c r="N155">
        <f t="shared" si="34"/>
        <v>154</v>
      </c>
      <c r="O155">
        <f t="shared" si="35"/>
        <v>2</v>
      </c>
      <c r="P155" t="str">
        <f t="shared" si="36"/>
        <v>AGAGACAGGAGCCTTCGGTGTCTCAACAGGCAGTTCTATGAG</v>
      </c>
    </row>
    <row r="156" spans="1:16" x14ac:dyDescent="0.25">
      <c r="A156">
        <v>2063033</v>
      </c>
      <c r="B156" t="s">
        <v>22</v>
      </c>
      <c r="C156" t="s">
        <v>190</v>
      </c>
      <c r="E156">
        <f t="shared" si="30"/>
        <v>13</v>
      </c>
      <c r="F156" t="str">
        <f t="shared" si="38"/>
        <v>2063033_chr16:2063123-2063124:A&gt;G</v>
      </c>
      <c r="G156" t="s">
        <v>1014</v>
      </c>
      <c r="H156" t="s">
        <v>675</v>
      </c>
      <c r="I156" t="s">
        <v>978</v>
      </c>
      <c r="J156" t="s">
        <v>979</v>
      </c>
      <c r="K156" t="str">
        <f t="shared" si="31"/>
        <v>AGAGACAGGAGCCTTCGGTGCCTCAACAGGCAGTTCTATGAGGTGCGTGTCCAGGCGGCCGCAGCTGGGGGCTCAGGGCTATTTCTCCGTGGGCGGGCTGTCTCTGTTGTGCGCGTGCTCCCGCAGAGCCGGGCAGGTAGGAGGATAGGCCAGG</v>
      </c>
      <c r="L156" t="str">
        <f t="shared" si="32"/>
        <v>CGGTG</v>
      </c>
      <c r="M156" t="str">
        <f t="shared" si="33"/>
        <v>TCAAC</v>
      </c>
      <c r="N156">
        <f t="shared" si="34"/>
        <v>154</v>
      </c>
      <c r="O156">
        <f t="shared" si="35"/>
        <v>2</v>
      </c>
      <c r="P156" t="str">
        <f t="shared" si="36"/>
        <v>AGAGACAGGAGCCTTCGGTGCCTCAACAGGCAGTTCTATGAG</v>
      </c>
    </row>
    <row r="157" spans="1:16" x14ac:dyDescent="0.25">
      <c r="A157">
        <v>2064407</v>
      </c>
      <c r="B157" t="s">
        <v>23</v>
      </c>
      <c r="C157" t="s">
        <v>191</v>
      </c>
      <c r="D157" t="s">
        <v>534</v>
      </c>
      <c r="E157">
        <f t="shared" si="30"/>
        <v>14</v>
      </c>
      <c r="F157" t="str">
        <f>(A157&amp;"_"&amp;D157)</f>
        <v>2064407_wt</v>
      </c>
      <c r="G157" s="1" t="s">
        <v>997</v>
      </c>
      <c r="H157" t="s">
        <v>507</v>
      </c>
      <c r="I157" t="s">
        <v>978</v>
      </c>
      <c r="J157" t="s">
        <v>979</v>
      </c>
      <c r="K157" t="str">
        <f t="shared" si="31"/>
        <v>AGAGACAGGAGCCTTCGGTGTGATGCTGGACATCATCGAGAAGGTGAGAGCCGTTGTACCCGGGGCCGGGTGCTAGCGTGCCAGAGCTCCGTGGGCAGCAATGGCCTCTGGGCCCTCTGTCCTCCTCTTCGAGTGAGGTAGGAGGATAGGCCAGG</v>
      </c>
      <c r="L157" t="str">
        <f t="shared" si="32"/>
        <v>CGGTG</v>
      </c>
      <c r="M157" t="str">
        <f t="shared" si="33"/>
        <v>TGCTG</v>
      </c>
      <c r="N157">
        <f t="shared" si="34"/>
        <v>155</v>
      </c>
      <c r="O157">
        <f t="shared" si="35"/>
        <v>3</v>
      </c>
      <c r="P157" t="str">
        <f t="shared" ref="P157:P170" si="39">LEFT(K157,43)</f>
        <v>AGAGACAGGAGCCTTCGGTGTGATGCTGGACATCATCGAGAAG</v>
      </c>
    </row>
    <row r="158" spans="1:16" x14ac:dyDescent="0.25">
      <c r="A158">
        <v>2064407</v>
      </c>
      <c r="B158" t="s">
        <v>23</v>
      </c>
      <c r="C158" t="s">
        <v>191</v>
      </c>
      <c r="E158">
        <f t="shared" si="30"/>
        <v>14</v>
      </c>
      <c r="F158" t="str">
        <f t="shared" ref="F158:F170" si="40">(A158&amp;"_"&amp;C158)</f>
        <v>2064407_chr16:2064427-2064428:G&gt;A</v>
      </c>
      <c r="G158" s="5" t="s">
        <v>1064</v>
      </c>
      <c r="H158" t="s">
        <v>676</v>
      </c>
      <c r="I158" t="s">
        <v>978</v>
      </c>
      <c r="J158" t="s">
        <v>979</v>
      </c>
      <c r="K158" t="str">
        <f t="shared" si="31"/>
        <v>AGAGACAGGAGCCTTCGGTGATCTGCTGGACATCATCGAGAAGATGAGAGCCGTTGTACCCGGGGCCGGGTGCTAGCGTGCCAGAGCTCCGTGGGCAGCAATGGCCTCTGGGCCCTCTGTCCTCCTCTTCGAGTGAGGTAGGAGGATAGGCCAGG</v>
      </c>
      <c r="L158" t="str">
        <f t="shared" si="32"/>
        <v>CGGTG</v>
      </c>
      <c r="M158" t="str">
        <f t="shared" si="33"/>
        <v>TGCTG</v>
      </c>
      <c r="N158">
        <f t="shared" si="34"/>
        <v>155</v>
      </c>
      <c r="O158">
        <f t="shared" si="35"/>
        <v>3</v>
      </c>
      <c r="P158" t="str">
        <f t="shared" si="39"/>
        <v>AGAGACAGGAGCCTTCGGTGATCTGCTGGACATCATCGAGAAG</v>
      </c>
    </row>
    <row r="159" spans="1:16" x14ac:dyDescent="0.25">
      <c r="A159">
        <v>2064407</v>
      </c>
      <c r="B159" t="s">
        <v>23</v>
      </c>
      <c r="C159" t="s">
        <v>192</v>
      </c>
      <c r="E159">
        <f t="shared" si="30"/>
        <v>14</v>
      </c>
      <c r="F159" t="str">
        <f t="shared" si="40"/>
        <v>2064407_chr16:2064427-2064428:G&gt;T</v>
      </c>
      <c r="G159" s="1" t="s">
        <v>1004</v>
      </c>
      <c r="H159" t="s">
        <v>677</v>
      </c>
      <c r="I159" t="s">
        <v>978</v>
      </c>
      <c r="J159" t="s">
        <v>979</v>
      </c>
      <c r="K159" t="str">
        <f t="shared" si="31"/>
        <v>AGAGACAGGAGCCTTCGGTGTCGTGCTGGACATCATCGAGAAGTTGAGAGCCGTTGTACCCGGGGCCGGGTGCTAGCGTGCCAGAGCTCCGTGGGCAGCAATGGCCTCTGGGCCCTCTGTCCTCCTCTTCGAGTGAGGTAGGAGGATAGGCCAGG</v>
      </c>
      <c r="L159" t="str">
        <f t="shared" si="32"/>
        <v>CGGTG</v>
      </c>
      <c r="M159" t="str">
        <f t="shared" si="33"/>
        <v>TGCTG</v>
      </c>
      <c r="N159">
        <f t="shared" si="34"/>
        <v>155</v>
      </c>
      <c r="O159">
        <f t="shared" si="35"/>
        <v>3</v>
      </c>
      <c r="P159" t="str">
        <f t="shared" si="39"/>
        <v>AGAGACAGGAGCCTTCGGTGTCGTGCTGGACATCATCGAGAAG</v>
      </c>
    </row>
    <row r="160" spans="1:16" x14ac:dyDescent="0.25">
      <c r="A160">
        <v>2064407</v>
      </c>
      <c r="B160" t="s">
        <v>23</v>
      </c>
      <c r="C160" t="s">
        <v>193</v>
      </c>
      <c r="E160">
        <f t="shared" si="30"/>
        <v>14</v>
      </c>
      <c r="F160" t="str">
        <f t="shared" si="40"/>
        <v>2064407_chr16:2064428-2064429:T&gt;A</v>
      </c>
      <c r="G160" s="1" t="s">
        <v>998</v>
      </c>
      <c r="H160" t="s">
        <v>678</v>
      </c>
      <c r="I160" t="s">
        <v>978</v>
      </c>
      <c r="J160" t="s">
        <v>979</v>
      </c>
      <c r="K160" t="str">
        <f t="shared" si="31"/>
        <v>AGAGACAGGAGCCTTCGGTGGTATGCTGGACATCATCGAGAAGGAGAGAGCCGTTGTACCCGGGGCCGGGTGCTAGCGTGCCAGAGCTCCGTGGGCAGCAATGGCCTCTGGGCCCTCTGTCCTCCTCTTCGAGTGAGGTAGGAGGATAGGCCAGG</v>
      </c>
      <c r="L160" t="str">
        <f t="shared" si="32"/>
        <v>CGGTG</v>
      </c>
      <c r="M160" t="str">
        <f t="shared" si="33"/>
        <v>TGCTG</v>
      </c>
      <c r="N160">
        <f t="shared" si="34"/>
        <v>155</v>
      </c>
      <c r="O160">
        <f t="shared" si="35"/>
        <v>3</v>
      </c>
      <c r="P160" t="str">
        <f t="shared" si="39"/>
        <v>AGAGACAGGAGCCTTCGGTGGTATGCTGGACATCATCGAGAAG</v>
      </c>
    </row>
    <row r="161" spans="1:16" x14ac:dyDescent="0.25">
      <c r="A161">
        <v>2064407</v>
      </c>
      <c r="B161" t="s">
        <v>23</v>
      </c>
      <c r="C161" t="s">
        <v>194</v>
      </c>
      <c r="E161">
        <f t="shared" si="30"/>
        <v>14</v>
      </c>
      <c r="F161" t="str">
        <f t="shared" si="40"/>
        <v>2064407_chr16:2064428-2064429:T&gt;C</v>
      </c>
      <c r="G161" s="5" t="s">
        <v>1065</v>
      </c>
      <c r="H161" t="s">
        <v>679</v>
      </c>
      <c r="I161" t="s">
        <v>980</v>
      </c>
      <c r="J161" t="s">
        <v>979</v>
      </c>
      <c r="K161" t="str">
        <f t="shared" si="31"/>
        <v>AGAGACAGGAGCCTTCGGTGGTGTGCTGGACATCATCGAGAAGGCGAGAGCCGTTGTACCCGGGGCCGGGTGCTAGCGTGCCAGAGCTCCGTGGGCAGCAATGGCCTCTGGGCCCTCTGTCCTCCTCTTCGAGTGAGGTAGGAGGATAGGCCAGG</v>
      </c>
      <c r="L161" t="str">
        <f t="shared" si="32"/>
        <v>CGGTG</v>
      </c>
      <c r="M161" t="str">
        <f>LEFT(H161,6)</f>
        <v>TGCTGG</v>
      </c>
      <c r="N161">
        <f t="shared" si="34"/>
        <v>155</v>
      </c>
      <c r="O161">
        <f t="shared" si="35"/>
        <v>3</v>
      </c>
      <c r="P161" t="str">
        <f t="shared" si="39"/>
        <v>AGAGACAGGAGCCTTCGGTGGTGTGCTGGACATCATCGAGAAG</v>
      </c>
    </row>
    <row r="162" spans="1:16" x14ac:dyDescent="0.25">
      <c r="A162">
        <v>2064407</v>
      </c>
      <c r="B162" t="s">
        <v>23</v>
      </c>
      <c r="C162" t="s">
        <v>195</v>
      </c>
      <c r="E162">
        <f t="shared" si="30"/>
        <v>14</v>
      </c>
      <c r="F162" t="str">
        <f t="shared" si="40"/>
        <v>2064407_chr16:2064431-2064432:G&gt;A</v>
      </c>
      <c r="G162" s="1" t="s">
        <v>1000</v>
      </c>
      <c r="H162" t="s">
        <v>680</v>
      </c>
      <c r="I162" t="s">
        <v>978</v>
      </c>
      <c r="J162" t="s">
        <v>979</v>
      </c>
      <c r="K162" t="str">
        <f t="shared" si="31"/>
        <v>AGAGACAGGAGCCTTCGGTGAGCTGCTGGACATCATCGAGAAGGTGAAAGCCGTTGTACCCGGGGCCGGGTGCTAGCGTGCCAGAGCTCCGTGGGCAGCAATGGCCTCTGGGCCCTCTGTCCTCCTCTTCGAGTGAGGTAGGAGGATAGGCCAGG</v>
      </c>
      <c r="L162" t="str">
        <f t="shared" si="32"/>
        <v>CGGTG</v>
      </c>
      <c r="M162" t="str">
        <f t="shared" si="33"/>
        <v>TGCTG</v>
      </c>
      <c r="N162">
        <f t="shared" si="34"/>
        <v>155</v>
      </c>
      <c r="O162">
        <f t="shared" si="35"/>
        <v>3</v>
      </c>
      <c r="P162" t="str">
        <f t="shared" si="39"/>
        <v>AGAGACAGGAGCCTTCGGTGAGCTGCTGGACATCATCGAGAAG</v>
      </c>
    </row>
    <row r="163" spans="1:16" x14ac:dyDescent="0.25">
      <c r="A163">
        <v>2064407</v>
      </c>
      <c r="B163" t="s">
        <v>23</v>
      </c>
      <c r="C163" t="s">
        <v>196</v>
      </c>
      <c r="E163">
        <f t="shared" si="30"/>
        <v>14</v>
      </c>
      <c r="F163" t="str">
        <f t="shared" si="40"/>
        <v>2064407_chr16:2064431-2064432:G&gt;T</v>
      </c>
      <c r="G163" s="5" t="s">
        <v>1067</v>
      </c>
      <c r="H163" t="s">
        <v>681</v>
      </c>
      <c r="I163" t="s">
        <v>978</v>
      </c>
      <c r="J163" t="s">
        <v>979</v>
      </c>
      <c r="K163" t="str">
        <f t="shared" si="31"/>
        <v>AGAGACAGGAGCCTTCGGTGATGTGCTGGACATCATCGAGAAGGTGATAGCCGTTGTACCCGGGGCCGGGTGCTAGCGTGCCAGAGCTCCGTGGGCAGCAATGGCCTCTGGGCCCTCTGTCCTCCTCTTCGAGTGAGGTAGGAGGATAGGCCAGG</v>
      </c>
      <c r="L163" t="str">
        <f t="shared" si="32"/>
        <v>CGGTG</v>
      </c>
      <c r="M163" t="str">
        <f t="shared" si="33"/>
        <v>TGCTG</v>
      </c>
      <c r="N163">
        <f t="shared" si="34"/>
        <v>155</v>
      </c>
      <c r="O163">
        <f t="shared" si="35"/>
        <v>3</v>
      </c>
      <c r="P163" t="str">
        <f t="shared" si="39"/>
        <v>AGAGACAGGAGCCTTCGGTGATGTGCTGGACATCATCGAGAAG</v>
      </c>
    </row>
    <row r="164" spans="1:16" x14ac:dyDescent="0.25">
      <c r="A164">
        <v>2064407</v>
      </c>
      <c r="B164" t="s">
        <v>23</v>
      </c>
      <c r="C164" t="s">
        <v>197</v>
      </c>
      <c r="E164">
        <f t="shared" si="30"/>
        <v>14</v>
      </c>
      <c r="F164" t="str">
        <f t="shared" si="40"/>
        <v>2064407_chr16:2064434-2064435:C&gt;A</v>
      </c>
      <c r="G164" s="1" t="s">
        <v>1003</v>
      </c>
      <c r="H164" t="s">
        <v>682</v>
      </c>
      <c r="I164" t="s">
        <v>978</v>
      </c>
      <c r="J164" t="s">
        <v>979</v>
      </c>
      <c r="K164" t="str">
        <f t="shared" si="31"/>
        <v>AGAGACAGGAGCCTTCGGTGGCATGCTGGACATCATCGAGAAGGTGAGAGACGTTGTACCCGGGGCCGGGTGCTAGCGTGCCAGAGCTCCGTGGGCAGCAATGGCCTCTGGGCCCTCTGTCCTCCTCTTCGAGTGAGGTAGGAGGATAGGCCAGG</v>
      </c>
      <c r="L164" t="str">
        <f t="shared" si="32"/>
        <v>CGGTG</v>
      </c>
      <c r="M164" t="str">
        <f t="shared" si="33"/>
        <v>TGCTG</v>
      </c>
      <c r="N164">
        <f t="shared" si="34"/>
        <v>155</v>
      </c>
      <c r="O164">
        <f t="shared" si="35"/>
        <v>3</v>
      </c>
      <c r="P164" t="str">
        <f t="shared" si="39"/>
        <v>AGAGACAGGAGCCTTCGGTGGCATGCTGGACATCATCGAGAAG</v>
      </c>
    </row>
    <row r="165" spans="1:16" x14ac:dyDescent="0.25">
      <c r="A165">
        <v>2064407</v>
      </c>
      <c r="B165" t="s">
        <v>23</v>
      </c>
      <c r="C165" t="s">
        <v>198</v>
      </c>
      <c r="E165">
        <f t="shared" si="30"/>
        <v>14</v>
      </c>
      <c r="F165" t="str">
        <f t="shared" si="40"/>
        <v>2064407_chr16:2064434-2064435:C&gt;T</v>
      </c>
      <c r="G165" s="1" t="s">
        <v>1006</v>
      </c>
      <c r="H165" t="s">
        <v>683</v>
      </c>
      <c r="I165" t="s">
        <v>978</v>
      </c>
      <c r="J165" t="s">
        <v>979</v>
      </c>
      <c r="K165" t="str">
        <f t="shared" si="31"/>
        <v>AGAGACAGGAGCCTTCGGTGCGATGCTGGACATCATCGAGAAGGTGAGAGTCGTTGTACCCGGGGCCGGGTGCTAGCGTGCCAGAGCTCCGTGGGCAGCAATGGCCTCTGGGCCCTCTGTCCTCCTCTTCGAGTGAGGTAGGAGGATAGGCCAGG</v>
      </c>
      <c r="L165" t="str">
        <f t="shared" si="32"/>
        <v>CGGTG</v>
      </c>
      <c r="M165" t="str">
        <f t="shared" si="33"/>
        <v>TGCTG</v>
      </c>
      <c r="N165">
        <f t="shared" si="34"/>
        <v>155</v>
      </c>
      <c r="O165">
        <f t="shared" si="35"/>
        <v>3</v>
      </c>
      <c r="P165" t="str">
        <f t="shared" si="39"/>
        <v>AGAGACAGGAGCCTTCGGTGCGATGCTGGACATCATCGAGAAG</v>
      </c>
    </row>
    <row r="166" spans="1:16" x14ac:dyDescent="0.25">
      <c r="A166">
        <v>2064407</v>
      </c>
      <c r="B166" t="s">
        <v>23</v>
      </c>
      <c r="C166" t="s">
        <v>199</v>
      </c>
      <c r="E166">
        <f t="shared" si="30"/>
        <v>14</v>
      </c>
      <c r="F166" t="str">
        <f t="shared" si="40"/>
        <v>2064407_chr16:2064435-2064436:C&gt;T</v>
      </c>
      <c r="G166" s="1" t="s">
        <v>1007</v>
      </c>
      <c r="H166" t="s">
        <v>684</v>
      </c>
      <c r="I166" t="s">
        <v>978</v>
      </c>
      <c r="J166" t="s">
        <v>979</v>
      </c>
      <c r="K166" t="str">
        <f t="shared" si="31"/>
        <v>AGAGACAGGAGCCTTCGGTGGGATGCTGGACATCATCGAGAAGGTGAGAGCTGTTGTACCCGGGGCCGGGTGCTAGCGTGCCAGAGCTCCGTGGGCAGCAATGGCCTCTGGGCCCTCTGTCCTCCTCTTCGAGTGAGGTAGGAGGATAGGCCAGG</v>
      </c>
      <c r="L166" t="str">
        <f t="shared" si="32"/>
        <v>CGGTG</v>
      </c>
      <c r="M166" t="str">
        <f t="shared" si="33"/>
        <v>TGCTG</v>
      </c>
      <c r="N166">
        <f t="shared" si="34"/>
        <v>155</v>
      </c>
      <c r="O166">
        <f t="shared" si="35"/>
        <v>3</v>
      </c>
      <c r="P166" t="str">
        <f t="shared" si="39"/>
        <v>AGAGACAGGAGCCTTCGGTGGGATGCTGGACATCATCGAGAAG</v>
      </c>
    </row>
    <row r="167" spans="1:16" x14ac:dyDescent="0.25">
      <c r="A167">
        <v>2064407</v>
      </c>
      <c r="B167" t="s">
        <v>23</v>
      </c>
      <c r="C167" t="s">
        <v>200</v>
      </c>
      <c r="E167">
        <f t="shared" si="30"/>
        <v>14</v>
      </c>
      <c r="F167" t="str">
        <f t="shared" si="40"/>
        <v>2064407_chr16:2064436-2064437:G&gt;A</v>
      </c>
      <c r="G167" s="1" t="s">
        <v>1002</v>
      </c>
      <c r="H167" t="s">
        <v>685</v>
      </c>
      <c r="I167" t="s">
        <v>978</v>
      </c>
      <c r="J167" t="s">
        <v>979</v>
      </c>
      <c r="K167" t="str">
        <f t="shared" si="31"/>
        <v>AGAGACAGGAGCCTTCGGTGTGCTGCTGGACATCATCGAGAAGGTGAGAGCCATTGTACCCGGGGCCGGGTGCTAGCGTGCCAGAGCTCCGTGGGCAGCAATGGCCTCTGGGCCCTCTGTCCTCCTCTTCGAGTGAGGTAGGAGGATAGGCCAGG</v>
      </c>
      <c r="L167" t="str">
        <f t="shared" si="32"/>
        <v>CGGTG</v>
      </c>
      <c r="M167" t="str">
        <f t="shared" si="33"/>
        <v>TGCTG</v>
      </c>
      <c r="N167">
        <f t="shared" si="34"/>
        <v>155</v>
      </c>
      <c r="O167">
        <f t="shared" si="35"/>
        <v>3</v>
      </c>
      <c r="P167" t="str">
        <f t="shared" si="39"/>
        <v>AGAGACAGGAGCCTTCGGTGTGCTGCTGGACATCATCGAGAAG</v>
      </c>
    </row>
    <row r="168" spans="1:16" x14ac:dyDescent="0.25">
      <c r="A168">
        <v>2064407</v>
      </c>
      <c r="B168" t="s">
        <v>23</v>
      </c>
      <c r="C168" t="s">
        <v>201</v>
      </c>
      <c r="E168">
        <f t="shared" si="30"/>
        <v>14</v>
      </c>
      <c r="F168" t="str">
        <f t="shared" si="40"/>
        <v>2064407_chr16:2064442-2064443:C&gt;T</v>
      </c>
      <c r="G168" s="5" t="s">
        <v>1066</v>
      </c>
      <c r="H168" t="s">
        <v>686</v>
      </c>
      <c r="I168" t="s">
        <v>978</v>
      </c>
      <c r="J168" t="s">
        <v>979</v>
      </c>
      <c r="K168" t="str">
        <f t="shared" si="31"/>
        <v>AGAGACAGGAGCCTTCGGTGAGATGCTGGACATCATCGAGAAGGTGAGAGCCGTTGTATCCGGGGCCGGGTGCTAGCGTGCCAGAGCTCCGTGGGCAGCAATGGCCTCTGGGCCCTCTGTCCTCCTCTTCGAGTGAGGTAGGAGGATAGGCCAGG</v>
      </c>
      <c r="L168" t="str">
        <f t="shared" si="32"/>
        <v>CGGTG</v>
      </c>
      <c r="M168" t="str">
        <f t="shared" si="33"/>
        <v>TGCTG</v>
      </c>
      <c r="N168">
        <f t="shared" si="34"/>
        <v>155</v>
      </c>
      <c r="O168">
        <f t="shared" si="35"/>
        <v>3</v>
      </c>
      <c r="P168" t="str">
        <f t="shared" si="39"/>
        <v>AGAGACAGGAGCCTTCGGTGAGATGCTGGACATCATCGAGAAG</v>
      </c>
    </row>
    <row r="169" spans="1:16" x14ac:dyDescent="0.25">
      <c r="A169">
        <v>2064407</v>
      </c>
      <c r="B169" t="s">
        <v>23</v>
      </c>
      <c r="C169" t="s">
        <v>202</v>
      </c>
      <c r="E169">
        <f t="shared" si="30"/>
        <v>14</v>
      </c>
      <c r="F169" t="str">
        <f t="shared" si="40"/>
        <v>2064407_chr16:2064445-2064446:G&gt;A</v>
      </c>
      <c r="G169" s="1" t="s">
        <v>1024</v>
      </c>
      <c r="H169" t="s">
        <v>687</v>
      </c>
      <c r="I169" t="s">
        <v>978</v>
      </c>
      <c r="J169" t="s">
        <v>979</v>
      </c>
      <c r="K169" t="str">
        <f t="shared" si="31"/>
        <v>AGAGACAGGAGCCTTCGGTGACGTGCTGGACATCATCGAGAAGGTGAGAGCCGTTGTACCCAGGGCCGGGTGCTAGCGTGCCAGAGCTCCGTGGGCAGCAATGGCCTCTGGGCCCTCTGTCCTCCTCTTCGAGTGAGGTAGGAGGATAGGCCAGG</v>
      </c>
      <c r="L169" t="str">
        <f t="shared" si="32"/>
        <v>CGGTG</v>
      </c>
      <c r="M169" t="str">
        <f t="shared" si="33"/>
        <v>TGCTG</v>
      </c>
      <c r="N169">
        <f t="shared" si="34"/>
        <v>155</v>
      </c>
      <c r="O169">
        <f t="shared" si="35"/>
        <v>3</v>
      </c>
      <c r="P169" t="str">
        <f t="shared" si="39"/>
        <v>AGAGACAGGAGCCTTCGGTGACGTGCTGGACATCATCGAGAAG</v>
      </c>
    </row>
    <row r="170" spans="1:16" x14ac:dyDescent="0.25">
      <c r="A170">
        <v>2064407</v>
      </c>
      <c r="B170" t="s">
        <v>23</v>
      </c>
      <c r="C170" t="s">
        <v>203</v>
      </c>
      <c r="E170">
        <f t="shared" si="30"/>
        <v>14</v>
      </c>
      <c r="F170" t="str">
        <f t="shared" si="40"/>
        <v>2064407_chr16:2064508-2064511:CTC&gt;-</v>
      </c>
      <c r="G170" s="1" t="s">
        <v>1025</v>
      </c>
      <c r="H170" t="s">
        <v>688</v>
      </c>
      <c r="I170" t="s">
        <v>978</v>
      </c>
      <c r="J170" t="s">
        <v>979</v>
      </c>
      <c r="K170" t="str">
        <f t="shared" si="31"/>
        <v>AGAGACAGGAGCCTTCGGTGTCATGCTGGACATCATCGAGAAGGTGAGAGCCGTTGTACCCGGGGCCGGGTGCTAGCGTGCCAGAGCTCCGTGGGCAGCAATGGCCTCTGGGCCCTCTGTCCTCTTCGAGTGAGGTAGGAGGATAGGCCAGG</v>
      </c>
      <c r="L170" t="str">
        <f t="shared" si="32"/>
        <v>CGGTG</v>
      </c>
      <c r="M170" t="str">
        <f t="shared" si="33"/>
        <v>TGCTG</v>
      </c>
      <c r="N170">
        <f t="shared" si="34"/>
        <v>152</v>
      </c>
      <c r="O170">
        <f t="shared" si="35"/>
        <v>3</v>
      </c>
      <c r="P170" t="str">
        <f t="shared" si="39"/>
        <v>AGAGACAGGAGCCTTCGGTGTCATGCTGGACATCATCGAGAAG</v>
      </c>
    </row>
    <row r="171" spans="1:16" x14ac:dyDescent="0.25">
      <c r="A171">
        <v>2065615</v>
      </c>
      <c r="B171" t="s">
        <v>24</v>
      </c>
      <c r="C171" t="s">
        <v>204</v>
      </c>
      <c r="D171" t="s">
        <v>534</v>
      </c>
      <c r="E171">
        <f t="shared" si="30"/>
        <v>10</v>
      </c>
      <c r="F171" t="str">
        <f>(A171&amp;"_"&amp;D171)</f>
        <v>2065615_wt</v>
      </c>
      <c r="G171" t="s">
        <v>982</v>
      </c>
      <c r="H171" t="s">
        <v>508</v>
      </c>
      <c r="I171" t="s">
        <v>978</v>
      </c>
      <c r="J171" t="s">
        <v>979</v>
      </c>
      <c r="K171" t="str">
        <f t="shared" si="31"/>
        <v>AGAGACAGGAGCCTTCGGTGTAGGCTTCTGGTCATCCTTCAGGTGGGTGTTCTGCACGAGGCCTCTGCTCCCGGGGCGCGCATGGCTAGCGTCCACCAGCTGCATCTGCGTTGTGTTGGAGTCTGTTCCCCAGCAGGTAGGAGGATAGGCCAGG</v>
      </c>
      <c r="L171" t="str">
        <f t="shared" si="32"/>
        <v>CGGTG</v>
      </c>
      <c r="M171" t="str">
        <f t="shared" si="33"/>
        <v>GGCTT</v>
      </c>
      <c r="N171">
        <f t="shared" si="34"/>
        <v>154</v>
      </c>
      <c r="O171">
        <f t="shared" si="35"/>
        <v>2</v>
      </c>
      <c r="P171" t="str">
        <f t="shared" ref="P171:P193" si="41">LEFT(K171,42)</f>
        <v>AGAGACAGGAGCCTTCGGTGTAGGCTTCTGGTCATCCTTCAG</v>
      </c>
    </row>
    <row r="172" spans="1:16" x14ac:dyDescent="0.25">
      <c r="A172">
        <v>2065615</v>
      </c>
      <c r="B172" t="s">
        <v>24</v>
      </c>
      <c r="C172" t="s">
        <v>204</v>
      </c>
      <c r="E172">
        <f t="shared" si="30"/>
        <v>10</v>
      </c>
      <c r="F172" t="str">
        <f t="shared" ref="F172:F180" si="42">(A172&amp;"_"&amp;C172)</f>
        <v>2065615_chr16:2065635-2065636:G&gt;A</v>
      </c>
      <c r="G172" t="s">
        <v>983</v>
      </c>
      <c r="H172" t="s">
        <v>689</v>
      </c>
      <c r="I172" t="s">
        <v>978</v>
      </c>
      <c r="J172" t="s">
        <v>979</v>
      </c>
      <c r="K172" t="str">
        <f t="shared" si="31"/>
        <v>AGAGACAGGAGCCTTCGGTGAGGGCTTCTGGTCATCCTTCAGATGGGTGTTCTGCACGAGGCCTCTGCTCCCGGGGCGCGCATGGCTAGCGTCCACCAGCTGCATCTGCGTTGTGTTGGAGTCTGTTCCCCAGCAGGTAGGAGGATAGGCCAGG</v>
      </c>
      <c r="L172" t="str">
        <f t="shared" si="32"/>
        <v>CGGTG</v>
      </c>
      <c r="M172" t="str">
        <f t="shared" si="33"/>
        <v>GGCTT</v>
      </c>
      <c r="N172">
        <f t="shared" si="34"/>
        <v>154</v>
      </c>
      <c r="O172">
        <f t="shared" si="35"/>
        <v>2</v>
      </c>
      <c r="P172" t="str">
        <f t="shared" si="41"/>
        <v>AGAGACAGGAGCCTTCGGTGAGGGCTTCTGGTCATCCTTCAG</v>
      </c>
    </row>
    <row r="173" spans="1:16" x14ac:dyDescent="0.25">
      <c r="A173">
        <v>2065615</v>
      </c>
      <c r="B173" t="s">
        <v>24</v>
      </c>
      <c r="C173" t="s">
        <v>205</v>
      </c>
      <c r="E173">
        <f t="shared" si="30"/>
        <v>10</v>
      </c>
      <c r="F173" t="str">
        <f t="shared" si="42"/>
        <v>2065615_chr16:2065636-2065637:T&gt;C</v>
      </c>
      <c r="G173" t="s">
        <v>984</v>
      </c>
      <c r="H173" t="s">
        <v>690</v>
      </c>
      <c r="I173" t="s">
        <v>978</v>
      </c>
      <c r="J173" t="s">
        <v>979</v>
      </c>
      <c r="K173" t="str">
        <f t="shared" si="31"/>
        <v>AGAGACAGGAGCCTTCGGTGCAGGCTTCTGGTCATCCTTCAGGCGGGTGTTCTGCACGAGGCCTCTGCTCCCGGGGCGCGCATGGCTAGCGTCCACCAGCTGCATCTGCGTTGTGTTGGAGTCTGTTCCCCAGCAGGTAGGAGGATAGGCCAGG</v>
      </c>
      <c r="L173" t="str">
        <f t="shared" si="32"/>
        <v>CGGTG</v>
      </c>
      <c r="M173" t="str">
        <f t="shared" si="33"/>
        <v>GGCTT</v>
      </c>
      <c r="N173">
        <f t="shared" si="34"/>
        <v>154</v>
      </c>
      <c r="O173">
        <f t="shared" si="35"/>
        <v>2</v>
      </c>
      <c r="P173" t="str">
        <f t="shared" si="41"/>
        <v>AGAGACAGGAGCCTTCGGTGCAGGCTTCTGGTCATCCTTCAG</v>
      </c>
    </row>
    <row r="174" spans="1:16" x14ac:dyDescent="0.25">
      <c r="A174">
        <v>2065615</v>
      </c>
      <c r="B174" t="s">
        <v>24</v>
      </c>
      <c r="C174" t="s">
        <v>206</v>
      </c>
      <c r="E174">
        <f t="shared" si="30"/>
        <v>10</v>
      </c>
      <c r="F174" t="str">
        <f t="shared" si="42"/>
        <v>2065615_chr16:2065639-2065640:G&gt;-</v>
      </c>
      <c r="G174" t="s">
        <v>985</v>
      </c>
      <c r="H174" t="s">
        <v>691</v>
      </c>
      <c r="I174" t="s">
        <v>978</v>
      </c>
      <c r="J174" t="s">
        <v>979</v>
      </c>
      <c r="K174" t="str">
        <f t="shared" si="31"/>
        <v>AGAGACAGGAGCCTTCGGTGATGGCTTCTGGTCATCCTTCAGGTGGTGTTCTGCACGAGGCCTCTGCTCCCGGGGCGCGCATGGCTAGCGTCCACCAGCTGCATCTGCGTTGTGTTGGAGTCTGTTCCCCAGCAGGTAGGAGGATAGGCCAGG</v>
      </c>
      <c r="L174" t="str">
        <f t="shared" si="32"/>
        <v>CGGTG</v>
      </c>
      <c r="M174" t="str">
        <f t="shared" si="33"/>
        <v>GGCTT</v>
      </c>
      <c r="N174">
        <f t="shared" si="34"/>
        <v>153</v>
      </c>
      <c r="O174">
        <f t="shared" si="35"/>
        <v>2</v>
      </c>
      <c r="P174" t="str">
        <f t="shared" si="41"/>
        <v>AGAGACAGGAGCCTTCGGTGATGGCTTCTGGTCATCCTTCAG</v>
      </c>
    </row>
    <row r="175" spans="1:16" x14ac:dyDescent="0.25">
      <c r="A175">
        <v>2065615</v>
      </c>
      <c r="B175" t="s">
        <v>24</v>
      </c>
      <c r="C175" t="s">
        <v>207</v>
      </c>
      <c r="E175">
        <f t="shared" si="30"/>
        <v>10</v>
      </c>
      <c r="F175" t="str">
        <f t="shared" si="42"/>
        <v>2065615_chr16:2065644-2065645:C&gt;A</v>
      </c>
      <c r="G175" t="s">
        <v>1021</v>
      </c>
      <c r="H175" t="s">
        <v>692</v>
      </c>
      <c r="I175" t="s">
        <v>978</v>
      </c>
      <c r="J175" t="s">
        <v>979</v>
      </c>
      <c r="K175" t="str">
        <f t="shared" si="31"/>
        <v>AGAGACAGGAGCCTTCGGTGTGGGCTTCTGGTCATCCTTCAGGTGGGTGTTATGCACGAGGCCTCTGCTCCCGGGGCGCGCATGGCTAGCGTCCACCAGCTGCATCTGCGTTGTGTTGGAGTCTGTTCCCCAGCAGGTAGGAGGATAGGCCAGG</v>
      </c>
      <c r="L175" t="str">
        <f t="shared" si="32"/>
        <v>CGGTG</v>
      </c>
      <c r="M175" t="str">
        <f t="shared" si="33"/>
        <v>GGCTT</v>
      </c>
      <c r="N175">
        <f t="shared" si="34"/>
        <v>154</v>
      </c>
      <c r="O175">
        <f t="shared" si="35"/>
        <v>2</v>
      </c>
      <c r="P175" t="str">
        <f t="shared" si="41"/>
        <v>AGAGACAGGAGCCTTCGGTGTGGGCTTCTGGTCATCCTTCAG</v>
      </c>
    </row>
    <row r="176" spans="1:16" x14ac:dyDescent="0.25">
      <c r="A176">
        <v>2065615</v>
      </c>
      <c r="B176" t="s">
        <v>24</v>
      </c>
      <c r="C176" t="s">
        <v>208</v>
      </c>
      <c r="E176">
        <f t="shared" si="30"/>
        <v>10</v>
      </c>
      <c r="F176" t="str">
        <f t="shared" si="42"/>
        <v>2065615_chr16:2065649-2065650:C&gt;T</v>
      </c>
      <c r="G176" s="4" t="s">
        <v>1068</v>
      </c>
      <c r="H176" t="s">
        <v>693</v>
      </c>
      <c r="I176" t="s">
        <v>978</v>
      </c>
      <c r="J176" t="s">
        <v>979</v>
      </c>
      <c r="K176" t="str">
        <f t="shared" si="31"/>
        <v>AGAGACAGGAGCCTTCGGTGGAGGCTTCTGGTCATCCTTCAGGTGGGTGTTCTGCATGAGGCCTCTGCTCCCGGGGCGCGCATGGCTAGCGTCCACCAGCTGCATCTGCGTTGTGTTGGAGTCTGTTCCCCAGCAGGTAGGAGGATAGGCCAGG</v>
      </c>
      <c r="L176" t="str">
        <f t="shared" si="32"/>
        <v>CGGTG</v>
      </c>
      <c r="M176" t="str">
        <f t="shared" si="33"/>
        <v>GGCTT</v>
      </c>
      <c r="N176">
        <f t="shared" si="34"/>
        <v>154</v>
      </c>
      <c r="O176">
        <f t="shared" si="35"/>
        <v>2</v>
      </c>
      <c r="P176" t="str">
        <f t="shared" si="41"/>
        <v>AGAGACAGGAGCCTTCGGTGGAGGCTTCTGGTCATCCTTCAG</v>
      </c>
    </row>
    <row r="177" spans="1:16" x14ac:dyDescent="0.25">
      <c r="A177">
        <v>2065615</v>
      </c>
      <c r="B177" t="s">
        <v>24</v>
      </c>
      <c r="C177" t="s">
        <v>209</v>
      </c>
      <c r="E177">
        <f t="shared" si="30"/>
        <v>10</v>
      </c>
      <c r="F177" t="str">
        <f t="shared" si="42"/>
        <v>2065615_chr16:2065650-2065651:G&gt;A</v>
      </c>
      <c r="G177" t="s">
        <v>987</v>
      </c>
      <c r="H177" t="s">
        <v>694</v>
      </c>
      <c r="I177" t="s">
        <v>978</v>
      </c>
      <c r="J177" t="s">
        <v>979</v>
      </c>
      <c r="K177" t="str">
        <f t="shared" si="31"/>
        <v>AGAGACAGGAGCCTTCGGTGGCGGCTTCTGGTCATCCTTCAGGTGGGTGTTCTGCACAAGGCCTCTGCTCCCGGGGCGCGCATGGCTAGCGTCCACCAGCTGCATCTGCGTTGTGTTGGAGTCTGTTCCCCAGCAGGTAGGAGGATAGGCCAGG</v>
      </c>
      <c r="L177" t="str">
        <f t="shared" si="32"/>
        <v>CGGTG</v>
      </c>
      <c r="M177" t="str">
        <f t="shared" si="33"/>
        <v>GGCTT</v>
      </c>
      <c r="N177">
        <f t="shared" si="34"/>
        <v>154</v>
      </c>
      <c r="O177">
        <f t="shared" si="35"/>
        <v>2</v>
      </c>
      <c r="P177" t="str">
        <f t="shared" si="41"/>
        <v>AGAGACAGGAGCCTTCGGTGGCGGCTTCTGGTCATCCTTCAG</v>
      </c>
    </row>
    <row r="178" spans="1:16" x14ac:dyDescent="0.25">
      <c r="A178">
        <v>2065615</v>
      </c>
      <c r="B178" t="s">
        <v>24</v>
      </c>
      <c r="C178" t="s">
        <v>210</v>
      </c>
      <c r="E178">
        <f t="shared" si="30"/>
        <v>10</v>
      </c>
      <c r="F178" t="str">
        <f t="shared" si="42"/>
        <v>2065615_chr16:2065662-2065663:C&gt;A</v>
      </c>
      <c r="G178" t="s">
        <v>988</v>
      </c>
      <c r="H178" t="s">
        <v>695</v>
      </c>
      <c r="I178" t="s">
        <v>980</v>
      </c>
      <c r="J178" t="s">
        <v>979</v>
      </c>
      <c r="K178" t="str">
        <f t="shared" si="31"/>
        <v>AGAGACAGGAGCCTTCGGTGACGGCTTCTGGTCATCCTTCAGGTGGGTGTTCTGCACGAGGCCTCTGCTACCGGGGCGCGCATGGCTAGCGTCCACCAGCTGCATCTGCGTTGTGTTGGAGTCTGTTCCCCAGCAGGTAGGAGGATAGGCCAGG</v>
      </c>
      <c r="L178" t="str">
        <f t="shared" si="32"/>
        <v>CGGTG</v>
      </c>
      <c r="M178" t="str">
        <f t="shared" si="33"/>
        <v>GGCTT</v>
      </c>
      <c r="N178">
        <f t="shared" si="34"/>
        <v>154</v>
      </c>
      <c r="O178">
        <f t="shared" si="35"/>
        <v>2</v>
      </c>
      <c r="P178" t="str">
        <f t="shared" si="41"/>
        <v>AGAGACAGGAGCCTTCGGTGACGGCTTCTGGTCATCCTTCAG</v>
      </c>
    </row>
    <row r="179" spans="1:16" x14ac:dyDescent="0.25">
      <c r="A179">
        <v>2065615</v>
      </c>
      <c r="B179" t="s">
        <v>24</v>
      </c>
      <c r="C179" t="s">
        <v>211</v>
      </c>
      <c r="E179">
        <f t="shared" si="30"/>
        <v>10</v>
      </c>
      <c r="F179" t="str">
        <f t="shared" si="42"/>
        <v>2065615_chr16:2065664-2065665:C&gt;T</v>
      </c>
      <c r="G179" t="s">
        <v>989</v>
      </c>
      <c r="H179" t="s">
        <v>696</v>
      </c>
      <c r="I179" t="s">
        <v>978</v>
      </c>
      <c r="J179" t="s">
        <v>979</v>
      </c>
      <c r="K179" t="str">
        <f t="shared" si="31"/>
        <v>AGAGACAGGAGCCTTCGGTGCGGGCTTCTGGTCATCCTTCAGGTGGGTGTTCTGCACGAGGCCTCTGCTCCTGGGGCGCGCATGGCTAGCGTCCACCAGCTGCATCTGCGTTGTGTTGGAGTCTGTTCCCCAGCAGGTAGGAGGATAGGCCAGG</v>
      </c>
      <c r="L179" t="str">
        <f t="shared" si="32"/>
        <v>CGGTG</v>
      </c>
      <c r="M179" t="str">
        <f t="shared" si="33"/>
        <v>GGCTT</v>
      </c>
      <c r="N179">
        <f t="shared" si="34"/>
        <v>154</v>
      </c>
      <c r="O179">
        <f t="shared" si="35"/>
        <v>2</v>
      </c>
      <c r="P179" t="str">
        <f t="shared" si="41"/>
        <v>AGAGACAGGAGCCTTCGGTGCGGGCTTCTGGTCATCCTTCAG</v>
      </c>
    </row>
    <row r="180" spans="1:16" x14ac:dyDescent="0.25">
      <c r="A180">
        <v>2065615</v>
      </c>
      <c r="B180" t="s">
        <v>24</v>
      </c>
      <c r="C180" t="s">
        <v>212</v>
      </c>
      <c r="E180">
        <f t="shared" si="30"/>
        <v>10</v>
      </c>
      <c r="F180" t="str">
        <f t="shared" si="42"/>
        <v>2065615_chr16:2065682-2065683:C&gt;G</v>
      </c>
      <c r="G180" t="s">
        <v>990</v>
      </c>
      <c r="H180" t="s">
        <v>697</v>
      </c>
      <c r="I180" t="s">
        <v>978</v>
      </c>
      <c r="J180" t="s">
        <v>979</v>
      </c>
      <c r="K180" t="str">
        <f t="shared" si="31"/>
        <v>AGAGACAGGAGCCTTCGGTGGTGGCTTCTGGTCATCCTTCAGGTGGGTGTTCTGCACGAGGCCTCTGCTCCCGGGGCGCGCATGGCTAGGGTCCACCAGCTGCATCTGCGTTGTGTTGGAGTCTGTTCCCCAGCAGGTAGGAGGATAGGCCAGG</v>
      </c>
      <c r="L180" t="str">
        <f t="shared" si="32"/>
        <v>CGGTG</v>
      </c>
      <c r="M180" t="str">
        <f t="shared" si="33"/>
        <v>GGCTT</v>
      </c>
      <c r="N180">
        <f t="shared" si="34"/>
        <v>154</v>
      </c>
      <c r="O180">
        <f t="shared" si="35"/>
        <v>2</v>
      </c>
      <c r="P180" t="str">
        <f t="shared" si="41"/>
        <v>AGAGACAGGAGCCTTCGGTGGTGGCTTCTGGTCATCCTTCAG</v>
      </c>
    </row>
    <row r="181" spans="1:16" x14ac:dyDescent="0.25">
      <c r="A181">
        <v>2070558</v>
      </c>
      <c r="B181" t="s">
        <v>25</v>
      </c>
      <c r="C181" t="s">
        <v>213</v>
      </c>
      <c r="D181" t="s">
        <v>534</v>
      </c>
      <c r="E181">
        <f t="shared" si="30"/>
        <v>13</v>
      </c>
      <c r="F181" t="str">
        <f>(A181&amp;"_"&amp;D181)</f>
        <v>2070558_wt</v>
      </c>
      <c r="G181" t="s">
        <v>982</v>
      </c>
      <c r="H181" t="s">
        <v>509</v>
      </c>
      <c r="I181" t="s">
        <v>978</v>
      </c>
      <c r="J181" t="s">
        <v>979</v>
      </c>
      <c r="K181" t="str">
        <f t="shared" si="31"/>
        <v>AGAGACAGGAGCCTTCGGTGTACGAGCAGCATCCGGCTGCAGGTATGGTGGCTGGGGTTGCGCAGCCAGTTCCTGGGGGCCCAGCCAGGTATCCCCGTCTCGGCAGGTGTGGTTCCTGGAAGCTGCAGAGACGGAGGTAGGAGGATAGGCCAGG</v>
      </c>
      <c r="L181" t="str">
        <f t="shared" si="32"/>
        <v>CGGTG</v>
      </c>
      <c r="M181" t="str">
        <f t="shared" si="33"/>
        <v>CGAGC</v>
      </c>
      <c r="N181">
        <f t="shared" si="34"/>
        <v>154</v>
      </c>
      <c r="O181">
        <f t="shared" si="35"/>
        <v>2</v>
      </c>
      <c r="P181" t="str">
        <f t="shared" si="41"/>
        <v>AGAGACAGGAGCCTTCGGTGTACGAGCAGCATCCGGCTGCAG</v>
      </c>
    </row>
    <row r="182" spans="1:16" x14ac:dyDescent="0.25">
      <c r="A182">
        <v>2070558</v>
      </c>
      <c r="B182" t="s">
        <v>25</v>
      </c>
      <c r="C182" t="s">
        <v>213</v>
      </c>
      <c r="E182">
        <f t="shared" si="30"/>
        <v>13</v>
      </c>
      <c r="F182" t="str">
        <f t="shared" ref="F182:F193" si="43">(A182&amp;"_"&amp;C182)</f>
        <v>2070558_chr16:2070578-2070579:G&gt;A</v>
      </c>
      <c r="G182" t="s">
        <v>983</v>
      </c>
      <c r="H182" t="s">
        <v>698</v>
      </c>
      <c r="I182" t="s">
        <v>978</v>
      </c>
      <c r="J182" t="s">
        <v>979</v>
      </c>
      <c r="K182" t="str">
        <f t="shared" si="31"/>
        <v>AGAGACAGGAGCCTTCGGTGAGCGAGCAGCATCCGGCTGCAGATATGGTGGCTGGGGTTGCGCAGCCAGTTCCTGGGGGCCCAGCCAGGTATCCCCGTCTCGGCAGGTGTGGTTCCTGGAAGCTGCAGAGACGGAGGTAGGAGGATAGGCCAGG</v>
      </c>
      <c r="L182" t="str">
        <f t="shared" si="32"/>
        <v>CGGTG</v>
      </c>
      <c r="M182" t="str">
        <f t="shared" si="33"/>
        <v>CGAGC</v>
      </c>
      <c r="N182">
        <f t="shared" si="34"/>
        <v>154</v>
      </c>
      <c r="O182">
        <f t="shared" si="35"/>
        <v>2</v>
      </c>
      <c r="P182" t="str">
        <f t="shared" si="41"/>
        <v>AGAGACAGGAGCCTTCGGTGAGCGAGCAGCATCCGGCTGCAG</v>
      </c>
    </row>
    <row r="183" spans="1:16" x14ac:dyDescent="0.25">
      <c r="A183">
        <v>2070558</v>
      </c>
      <c r="B183" t="s">
        <v>25</v>
      </c>
      <c r="C183" t="s">
        <v>214</v>
      </c>
      <c r="E183">
        <f t="shared" si="30"/>
        <v>13</v>
      </c>
      <c r="F183" t="str">
        <f t="shared" si="43"/>
        <v>2070558_chr16:2070578-2070579:G&gt;C</v>
      </c>
      <c r="G183" t="s">
        <v>984</v>
      </c>
      <c r="H183" t="s">
        <v>699</v>
      </c>
      <c r="I183" t="s">
        <v>978</v>
      </c>
      <c r="J183" t="s">
        <v>981</v>
      </c>
      <c r="K183" t="str">
        <f t="shared" si="31"/>
        <v>AGAGACAGGAGCCTTCGGTGCACGAGCAGCATCCGGCTGCAGCTATGGTGGCTGGGGTTGCGCAGCCAGTTCCTGGGGGCCCAGCCAGGTATCCCCGTCTCGGCAGGTGTGGTTCCTGGAAGCTGCAGAGACGGAGGTAGGAGGATAGGCCAGG</v>
      </c>
      <c r="L183" t="str">
        <f t="shared" si="32"/>
        <v>CGGTG</v>
      </c>
      <c r="M183" t="str">
        <f t="shared" si="33"/>
        <v>CGAGC</v>
      </c>
      <c r="N183">
        <f t="shared" si="34"/>
        <v>154</v>
      </c>
      <c r="O183">
        <f t="shared" si="35"/>
        <v>2</v>
      </c>
      <c r="P183" t="str">
        <f t="shared" si="41"/>
        <v>AGAGACAGGAGCCTTCGGTGCACGAGCAGCATCCGGCTGCAG</v>
      </c>
    </row>
    <row r="184" spans="1:16" x14ac:dyDescent="0.25">
      <c r="A184">
        <v>2070558</v>
      </c>
      <c r="B184" t="s">
        <v>25</v>
      </c>
      <c r="C184" t="s">
        <v>215</v>
      </c>
      <c r="E184">
        <f t="shared" si="30"/>
        <v>13</v>
      </c>
      <c r="F184" t="str">
        <f t="shared" si="43"/>
        <v>2070558_chr16:2070578-2070579:G&gt;T</v>
      </c>
      <c r="G184" t="s">
        <v>985</v>
      </c>
      <c r="H184" t="s">
        <v>700</v>
      </c>
      <c r="I184" t="s">
        <v>978</v>
      </c>
      <c r="J184" t="s">
        <v>979</v>
      </c>
      <c r="K184" t="str">
        <f t="shared" si="31"/>
        <v>AGAGACAGGAGCCTTCGGTGATCGAGCAGCATCCGGCTGCAGTTATGGTGGCTGGGGTTGCGCAGCCAGTTCCTGGGGGCCCAGCCAGGTATCCCCGTCTCGGCAGGTGTGGTTCCTGGAAGCTGCAGAGACGGAGGTAGGAGGATAGGCCAGG</v>
      </c>
      <c r="L184" t="str">
        <f t="shared" si="32"/>
        <v>CGGTG</v>
      </c>
      <c r="M184" t="str">
        <f t="shared" si="33"/>
        <v>CGAGC</v>
      </c>
      <c r="N184">
        <f t="shared" si="34"/>
        <v>154</v>
      </c>
      <c r="O184">
        <f t="shared" si="35"/>
        <v>2</v>
      </c>
      <c r="P184" t="str">
        <f t="shared" si="41"/>
        <v>AGAGACAGGAGCCTTCGGTGATCGAGCAGCATCCGGCTGCAG</v>
      </c>
    </row>
    <row r="185" spans="1:16" x14ac:dyDescent="0.25">
      <c r="A185">
        <v>2070558</v>
      </c>
      <c r="B185" t="s">
        <v>25</v>
      </c>
      <c r="C185" t="s">
        <v>216</v>
      </c>
      <c r="E185">
        <f t="shared" si="30"/>
        <v>13</v>
      </c>
      <c r="F185" t="str">
        <f t="shared" si="43"/>
        <v>2070558_chr16:2070579-2070580:T&gt;C</v>
      </c>
      <c r="G185" t="s">
        <v>1011</v>
      </c>
      <c r="H185" t="s">
        <v>701</v>
      </c>
      <c r="I185" t="s">
        <v>978</v>
      </c>
      <c r="J185" t="s">
        <v>979</v>
      </c>
      <c r="K185" t="str">
        <f t="shared" si="31"/>
        <v>AGAGACAGGAGCCTTCGGTGTGCGAGCAGCATCCGGCTGCAGGCATGGTGGCTGGGGTTGCGCAGCCAGTTCCTGGGGGCCCAGCCAGGTATCCCCGTCTCGGCAGGTGTGGTTCCTGGAAGCTGCAGAGACGGAGGTAGGAGGATAGGCCAGG</v>
      </c>
      <c r="L185" t="str">
        <f t="shared" si="32"/>
        <v>CGGTG</v>
      </c>
      <c r="M185" t="str">
        <f t="shared" si="33"/>
        <v>CGAGC</v>
      </c>
      <c r="N185">
        <f t="shared" si="34"/>
        <v>154</v>
      </c>
      <c r="O185">
        <f t="shared" si="35"/>
        <v>2</v>
      </c>
      <c r="P185" t="str">
        <f t="shared" si="41"/>
        <v>AGAGACAGGAGCCTTCGGTGTGCGAGCAGCATCCGGCTGCAG</v>
      </c>
    </row>
    <row r="186" spans="1:16" x14ac:dyDescent="0.25">
      <c r="A186">
        <v>2070558</v>
      </c>
      <c r="B186" t="s">
        <v>25</v>
      </c>
      <c r="C186" t="s">
        <v>217</v>
      </c>
      <c r="E186">
        <f t="shared" si="30"/>
        <v>13</v>
      </c>
      <c r="F186" t="str">
        <f t="shared" si="43"/>
        <v>2070558_chr16:2070581-2070582:T&gt;C</v>
      </c>
      <c r="G186" s="4" t="s">
        <v>1069</v>
      </c>
      <c r="H186" t="s">
        <v>702</v>
      </c>
      <c r="I186" t="s">
        <v>978</v>
      </c>
      <c r="J186" t="s">
        <v>979</v>
      </c>
      <c r="K186" t="str">
        <f t="shared" si="31"/>
        <v>AGAGACAGGAGCCTTCGGTGAACGAGCAGCATCCGGCTGCAGGTACGGTGGCTGGGGTTGCGCAGCCAGTTCCTGGGGGCCCAGCCAGGTATCCCCGTCTCGGCAGGTGTGGTTCCTGGAAGCTGCAGAGACGGAGGTAGGAGGATAGGCCAGG</v>
      </c>
      <c r="L186" t="str">
        <f t="shared" si="32"/>
        <v>CGGTG</v>
      </c>
      <c r="M186" t="str">
        <f t="shared" si="33"/>
        <v>CGAGC</v>
      </c>
      <c r="N186">
        <f t="shared" si="34"/>
        <v>154</v>
      </c>
      <c r="O186">
        <f t="shared" si="35"/>
        <v>2</v>
      </c>
      <c r="P186" t="str">
        <f t="shared" si="41"/>
        <v>AGAGACAGGAGCCTTCGGTGAACGAGCAGCATCCGGCTGCAG</v>
      </c>
    </row>
    <row r="187" spans="1:16" x14ac:dyDescent="0.25">
      <c r="A187">
        <v>2070558</v>
      </c>
      <c r="B187" t="s">
        <v>25</v>
      </c>
      <c r="C187" t="s">
        <v>218</v>
      </c>
      <c r="E187">
        <f t="shared" si="30"/>
        <v>13</v>
      </c>
      <c r="F187" t="str">
        <f t="shared" si="43"/>
        <v>2070558_chr16:2070583-2070584:G&gt;A</v>
      </c>
      <c r="G187" t="s">
        <v>987</v>
      </c>
      <c r="H187" t="s">
        <v>703</v>
      </c>
      <c r="I187" t="s">
        <v>978</v>
      </c>
      <c r="J187" t="s">
        <v>979</v>
      </c>
      <c r="K187" t="str">
        <f t="shared" si="31"/>
        <v>AGAGACAGGAGCCTTCGGTGGCCGAGCAGCATCCGGCTGCAGGTATGATGGCTGGGGTTGCGCAGCCAGTTCCTGGGGGCCCAGCCAGGTATCCCCGTCTCGGCAGGTGTGGTTCCTGGAAGCTGCAGAGACGGAGGTAGGAGGATAGGCCAGG</v>
      </c>
      <c r="L187" t="str">
        <f t="shared" si="32"/>
        <v>CGGTG</v>
      </c>
      <c r="M187" t="str">
        <f t="shared" si="33"/>
        <v>CGAGC</v>
      </c>
      <c r="N187">
        <f t="shared" si="34"/>
        <v>154</v>
      </c>
      <c r="O187">
        <f t="shared" si="35"/>
        <v>2</v>
      </c>
      <c r="P187" t="str">
        <f t="shared" si="41"/>
        <v>AGAGACAGGAGCCTTCGGTGGCCGAGCAGCATCCGGCTGCAG</v>
      </c>
    </row>
    <row r="188" spans="1:16" x14ac:dyDescent="0.25">
      <c r="A188">
        <v>2070558</v>
      </c>
      <c r="B188" t="s">
        <v>25</v>
      </c>
      <c r="C188" t="s">
        <v>219</v>
      </c>
      <c r="E188">
        <f t="shared" si="30"/>
        <v>13</v>
      </c>
      <c r="F188" t="str">
        <f t="shared" si="43"/>
        <v>2070558_chr16:2070586-2070587:G&gt;A</v>
      </c>
      <c r="G188" t="s">
        <v>988</v>
      </c>
      <c r="H188" t="s">
        <v>704</v>
      </c>
      <c r="I188" t="s">
        <v>978</v>
      </c>
      <c r="J188" t="s">
        <v>979</v>
      </c>
      <c r="K188" t="str">
        <f t="shared" si="31"/>
        <v>AGAGACAGGAGCCTTCGGTGACCGAGCAGCATCCGGCTGCAGGTATGGTGACTGGGGTTGCGCAGCCAGTTCCTGGGGGCCCAGCCAGGTATCCCCGTCTCGGCAGGTGTGGTTCCTGGAAGCTGCAGAGACGGAGGTAGGAGGATAGGCCAGG</v>
      </c>
      <c r="L188" t="str">
        <f t="shared" si="32"/>
        <v>CGGTG</v>
      </c>
      <c r="M188" t="str">
        <f t="shared" si="33"/>
        <v>CGAGC</v>
      </c>
      <c r="N188">
        <f t="shared" si="34"/>
        <v>154</v>
      </c>
      <c r="O188">
        <f t="shared" si="35"/>
        <v>2</v>
      </c>
      <c r="P188" t="str">
        <f t="shared" si="41"/>
        <v>AGAGACAGGAGCCTTCGGTGACCGAGCAGCATCCGGCTGCAG</v>
      </c>
    </row>
    <row r="189" spans="1:16" x14ac:dyDescent="0.25">
      <c r="A189">
        <v>2070558</v>
      </c>
      <c r="B189" t="s">
        <v>25</v>
      </c>
      <c r="C189" t="s">
        <v>220</v>
      </c>
      <c r="E189">
        <f t="shared" si="30"/>
        <v>13</v>
      </c>
      <c r="F189" t="str">
        <f t="shared" si="43"/>
        <v>2070558_chr16:2070587-2070588:C&gt;T</v>
      </c>
      <c r="G189" t="s">
        <v>989</v>
      </c>
      <c r="H189" t="s">
        <v>705</v>
      </c>
      <c r="I189" t="s">
        <v>978</v>
      </c>
      <c r="J189" t="s">
        <v>979</v>
      </c>
      <c r="K189" t="str">
        <f t="shared" si="31"/>
        <v>AGAGACAGGAGCCTTCGGTGCGCGAGCAGCATCCGGCTGCAGGTATGGTGGTTGGGGTTGCGCAGCCAGTTCCTGGGGGCCCAGCCAGGTATCCCCGTCTCGGCAGGTGTGGTTCCTGGAAGCTGCAGAGACGGAGGTAGGAGGATAGGCCAGG</v>
      </c>
      <c r="L189" t="str">
        <f t="shared" si="32"/>
        <v>CGGTG</v>
      </c>
      <c r="M189" t="str">
        <f t="shared" si="33"/>
        <v>CGAGC</v>
      </c>
      <c r="N189">
        <f t="shared" si="34"/>
        <v>154</v>
      </c>
      <c r="O189">
        <f t="shared" si="35"/>
        <v>2</v>
      </c>
      <c r="P189" t="str">
        <f t="shared" si="41"/>
        <v>AGAGACAGGAGCCTTCGGTGCGCGAGCAGCATCCGGCTGCAG</v>
      </c>
    </row>
    <row r="190" spans="1:16" x14ac:dyDescent="0.25">
      <c r="A190">
        <v>2070558</v>
      </c>
      <c r="B190" t="s">
        <v>25</v>
      </c>
      <c r="C190" t="s">
        <v>221</v>
      </c>
      <c r="E190">
        <f t="shared" si="30"/>
        <v>13</v>
      </c>
      <c r="F190" t="str">
        <f t="shared" si="43"/>
        <v>2070558_chr16:2070595-2070596:G&gt;A</v>
      </c>
      <c r="G190" t="s">
        <v>990</v>
      </c>
      <c r="H190" t="s">
        <v>706</v>
      </c>
      <c r="I190" t="s">
        <v>978</v>
      </c>
      <c r="J190" t="s">
        <v>981</v>
      </c>
      <c r="K190" t="str">
        <f t="shared" si="31"/>
        <v>AGAGACAGGAGCCTTCGGTGGTCGAGCAGCATCCGGCTGCAGGTATGGTGGCTGGGGTTACGCAGCCAGTTCCTGGGGGCCCAGCCAGGTATCCCCGTCTCGGCAGGTGTGGTTCCTGGAAGCTGCAGAGACGGAGGTAGGAGGATAGGCCAGG</v>
      </c>
      <c r="L190" t="str">
        <f t="shared" si="32"/>
        <v>CGGTG</v>
      </c>
      <c r="M190" t="str">
        <f t="shared" si="33"/>
        <v>CGAGC</v>
      </c>
      <c r="N190">
        <f t="shared" si="34"/>
        <v>154</v>
      </c>
      <c r="O190">
        <f t="shared" si="35"/>
        <v>2</v>
      </c>
      <c r="P190" t="str">
        <f t="shared" si="41"/>
        <v>AGAGACAGGAGCCTTCGGTGGTCGAGCAGCATCCGGCTGCAG</v>
      </c>
    </row>
    <row r="191" spans="1:16" x14ac:dyDescent="0.25">
      <c r="A191">
        <v>2070558</v>
      </c>
      <c r="B191" t="s">
        <v>25</v>
      </c>
      <c r="C191" t="s">
        <v>222</v>
      </c>
      <c r="E191">
        <f t="shared" si="30"/>
        <v>13</v>
      </c>
      <c r="F191" t="str">
        <f t="shared" si="43"/>
        <v>2070558_chr16:2070597-2070598:G&gt;A</v>
      </c>
      <c r="G191" t="s">
        <v>991</v>
      </c>
      <c r="H191" t="s">
        <v>707</v>
      </c>
      <c r="I191" t="s">
        <v>978</v>
      </c>
      <c r="J191" t="s">
        <v>979</v>
      </c>
      <c r="K191" t="str">
        <f t="shared" si="31"/>
        <v>AGAGACAGGAGCCTTCGGTGGACGAGCAGCATCCGGCTGCAGGTATGGTGGCTGGGGTTGCACAGCCAGTTCCTGGGGGCCCAGCCAGGTATCCCCGTCTCGGCAGGTGTGGTTCCTGGAAGCTGCAGAGACGGAGGTAGGAGGATAGGCCAGG</v>
      </c>
      <c r="L191" t="str">
        <f t="shared" si="32"/>
        <v>CGGTG</v>
      </c>
      <c r="M191" t="str">
        <f t="shared" si="33"/>
        <v>CGAGC</v>
      </c>
      <c r="N191">
        <f t="shared" si="34"/>
        <v>154</v>
      </c>
      <c r="O191">
        <f t="shared" si="35"/>
        <v>2</v>
      </c>
      <c r="P191" t="str">
        <f t="shared" si="41"/>
        <v>AGAGACAGGAGCCTTCGGTGGACGAGCAGCATCCGGCTGCAG</v>
      </c>
    </row>
    <row r="192" spans="1:16" x14ac:dyDescent="0.25">
      <c r="A192">
        <v>2070558</v>
      </c>
      <c r="B192" t="s">
        <v>25</v>
      </c>
      <c r="C192" t="s">
        <v>223</v>
      </c>
      <c r="E192">
        <f t="shared" si="30"/>
        <v>13</v>
      </c>
      <c r="F192" t="str">
        <f t="shared" si="43"/>
        <v>2070558_chr16:2070597-2070598:G&gt;C</v>
      </c>
      <c r="G192" t="s">
        <v>992</v>
      </c>
      <c r="H192" t="s">
        <v>708</v>
      </c>
      <c r="I192" t="s">
        <v>978</v>
      </c>
      <c r="J192" t="s">
        <v>979</v>
      </c>
      <c r="K192" t="str">
        <f t="shared" si="31"/>
        <v>AGAGACAGGAGCCTTCGGTGTCCGAGCAGCATCCGGCTGCAGGTATGGTGGCTGGGGTTGCCCAGCCAGTTCCTGGGGGCCCAGCCAGGTATCCCCGTCTCGGCAGGTGTGGTTCCTGGAAGCTGCAGAGACGGAGGTAGGAGGATAGGCCAGG</v>
      </c>
      <c r="L192" t="str">
        <f t="shared" si="32"/>
        <v>CGGTG</v>
      </c>
      <c r="M192" t="str">
        <f t="shared" si="33"/>
        <v>CGAGC</v>
      </c>
      <c r="N192">
        <f t="shared" si="34"/>
        <v>154</v>
      </c>
      <c r="O192">
        <f t="shared" si="35"/>
        <v>2</v>
      </c>
      <c r="P192" t="str">
        <f t="shared" si="41"/>
        <v>AGAGACAGGAGCCTTCGGTGTCCGAGCAGCATCCGGCTGCAG</v>
      </c>
    </row>
    <row r="193" spans="1:16" x14ac:dyDescent="0.25">
      <c r="A193">
        <v>2070558</v>
      </c>
      <c r="B193" t="s">
        <v>25</v>
      </c>
      <c r="C193" t="s">
        <v>224</v>
      </c>
      <c r="E193">
        <f t="shared" si="30"/>
        <v>13</v>
      </c>
      <c r="F193" t="str">
        <f t="shared" si="43"/>
        <v>2070558_chr16:2070623-2070624:G&gt;A</v>
      </c>
      <c r="G193" t="s">
        <v>1022</v>
      </c>
      <c r="H193" t="s">
        <v>709</v>
      </c>
      <c r="I193" t="s">
        <v>978</v>
      </c>
      <c r="J193" t="s">
        <v>979</v>
      </c>
      <c r="K193" t="str">
        <f t="shared" si="31"/>
        <v>AGAGACAGGAGCCTTCGGTGTTCGAGCAGCATCCGGCTGCAGGTATGGTGGCTGGGGTTGCGCAGCCAGTTCCTGGGGGCCCAGCCAAGTATCCCCGTCTCGGCAGGTGTGGTTCCTGGAAGCTGCAGAGACGGAGGTAGGAGGATAGGCCAGG</v>
      </c>
      <c r="L193" t="str">
        <f t="shared" si="32"/>
        <v>CGGTG</v>
      </c>
      <c r="M193" t="str">
        <f t="shared" si="33"/>
        <v>CGAGC</v>
      </c>
      <c r="N193">
        <f t="shared" si="34"/>
        <v>154</v>
      </c>
      <c r="O193">
        <f t="shared" si="35"/>
        <v>2</v>
      </c>
      <c r="P193" t="str">
        <f t="shared" si="41"/>
        <v>AGAGACAGGAGCCTTCGGTGTTCGAGCAGCATCCGGCTGCAG</v>
      </c>
    </row>
    <row r="194" spans="1:16" x14ac:dyDescent="0.25">
      <c r="A194">
        <v>2071596</v>
      </c>
      <c r="B194" t="s">
        <v>26</v>
      </c>
      <c r="C194" t="s">
        <v>225</v>
      </c>
      <c r="D194" t="s">
        <v>534</v>
      </c>
      <c r="E194">
        <f t="shared" ref="E194:E257" si="44">COUNTIF(A:A,A194)</f>
        <v>18</v>
      </c>
      <c r="F194" t="str">
        <f>(A194&amp;"_"&amp;D194)</f>
        <v>2071596_wt</v>
      </c>
      <c r="G194" s="1" t="s">
        <v>993</v>
      </c>
      <c r="H194" t="s">
        <v>510</v>
      </c>
      <c r="I194" t="s">
        <v>978</v>
      </c>
      <c r="J194" t="s">
        <v>979</v>
      </c>
      <c r="K194" t="str">
        <f t="shared" si="31"/>
        <v>AGAGACAGGAGCCTTCGGTGCATTACTGCGTCTGCGACTACATGTACGCGGGACCTCGCCCACGGCCCATGAGGCTCAGGGCGTCAGAGGCGCTGGGGCTGTGGTGGCGCTGTTTGCATGTCTGAGGGATGTCCCAGGTAGGAGGATAGGCCAGG</v>
      </c>
      <c r="L194" t="str">
        <f t="shared" si="32"/>
        <v>CGGTG</v>
      </c>
      <c r="M194" t="str">
        <f t="shared" si="33"/>
        <v>TACTG</v>
      </c>
      <c r="N194">
        <f t="shared" si="34"/>
        <v>155</v>
      </c>
      <c r="O194">
        <f t="shared" si="35"/>
        <v>3</v>
      </c>
      <c r="P194" t="str">
        <f t="shared" ref="P194:P219" si="45">LEFT(K194,43)</f>
        <v>AGAGACAGGAGCCTTCGGTGCATTACTGCGTCTGCGACTACAT</v>
      </c>
    </row>
    <row r="195" spans="1:16" x14ac:dyDescent="0.25">
      <c r="A195">
        <v>2071596</v>
      </c>
      <c r="B195" t="s">
        <v>26</v>
      </c>
      <c r="C195" t="s">
        <v>225</v>
      </c>
      <c r="E195">
        <f t="shared" si="44"/>
        <v>18</v>
      </c>
      <c r="F195" t="str">
        <f t="shared" ref="F195:F211" si="46">(A195&amp;"_"&amp;C195)</f>
        <v>2071596_chr16:2071616-2071617:G&gt;A</v>
      </c>
      <c r="G195" s="1" t="s">
        <v>997</v>
      </c>
      <c r="H195" t="s">
        <v>710</v>
      </c>
      <c r="I195" t="s">
        <v>978</v>
      </c>
      <c r="J195" t="s">
        <v>979</v>
      </c>
      <c r="K195" t="str">
        <f t="shared" ref="K195:K257" si="47">(I195&amp;G195&amp;H195&amp;J195)</f>
        <v>AGAGACAGGAGCCTTCGGTGTGATACTGCGTCTGCGACTACATATACGCGGGACCTCGCCCACGGCCCATGAGGCTCAGGGCGTCAGAGGCGCTGGGGCTGTGGTGGCGCTGTTTGCATGTCTGAGGGATGTCCCAGGTAGGAGGATAGGCCAGG</v>
      </c>
      <c r="L195" t="str">
        <f t="shared" ref="L195:L257" si="48">RIGHT(I195,5)</f>
        <v>CGGTG</v>
      </c>
      <c r="M195" t="str">
        <f t="shared" ref="M195:M257" si="49">LEFT(H195,5)</f>
        <v>TACTG</v>
      </c>
      <c r="N195">
        <f t="shared" ref="N195:N257" si="50">LEN(K195)</f>
        <v>155</v>
      </c>
      <c r="O195">
        <f t="shared" ref="O195:O258" si="51">LEN(G195)</f>
        <v>3</v>
      </c>
      <c r="P195" t="str">
        <f t="shared" si="45"/>
        <v>AGAGACAGGAGCCTTCGGTGTGATACTGCGTCTGCGACTACAT</v>
      </c>
    </row>
    <row r="196" spans="1:16" x14ac:dyDescent="0.25">
      <c r="A196">
        <v>2071596</v>
      </c>
      <c r="B196" t="s">
        <v>26</v>
      </c>
      <c r="C196" t="s">
        <v>226</v>
      </c>
      <c r="E196">
        <f t="shared" si="44"/>
        <v>18</v>
      </c>
      <c r="F196" t="str">
        <f t="shared" si="46"/>
        <v>2071596_chr16:2071616-2071617:G&gt;C</v>
      </c>
      <c r="G196" s="1" t="s">
        <v>994</v>
      </c>
      <c r="H196" t="s">
        <v>711</v>
      </c>
      <c r="I196" t="s">
        <v>978</v>
      </c>
      <c r="J196" t="s">
        <v>979</v>
      </c>
      <c r="K196" t="str">
        <f t="shared" si="47"/>
        <v>AGAGACAGGAGCCTTCGGTGGAGTACTGCGTCTGCGACTACATCTACGCGGGACCTCGCCCACGGCCCATGAGGCTCAGGGCGTCAGAGGCGCTGGGGCTGTGGTGGCGCTGTTTGCATGTCTGAGGGATGTCCCAGGTAGGAGGATAGGCCAGG</v>
      </c>
      <c r="L196" t="str">
        <f t="shared" si="48"/>
        <v>CGGTG</v>
      </c>
      <c r="M196" t="str">
        <f t="shared" si="49"/>
        <v>TACTG</v>
      </c>
      <c r="N196">
        <f t="shared" si="50"/>
        <v>155</v>
      </c>
      <c r="O196">
        <f t="shared" si="51"/>
        <v>3</v>
      </c>
      <c r="P196" t="str">
        <f t="shared" si="45"/>
        <v>AGAGACAGGAGCCTTCGGTGGAGTACTGCGTCTGCGACTACAT</v>
      </c>
    </row>
    <row r="197" spans="1:16" x14ac:dyDescent="0.25">
      <c r="A197">
        <v>2071596</v>
      </c>
      <c r="B197" t="s">
        <v>26</v>
      </c>
      <c r="C197" t="s">
        <v>227</v>
      </c>
      <c r="E197">
        <f t="shared" si="44"/>
        <v>18</v>
      </c>
      <c r="F197" t="str">
        <f t="shared" si="46"/>
        <v>2071596_chr16:2071616-2071617:G&gt;T</v>
      </c>
      <c r="G197" s="1" t="s">
        <v>1001</v>
      </c>
      <c r="H197" t="s">
        <v>712</v>
      </c>
      <c r="I197" t="s">
        <v>978</v>
      </c>
      <c r="J197" t="s">
        <v>979</v>
      </c>
      <c r="K197" t="str">
        <f t="shared" si="47"/>
        <v>AGAGACAGGAGCCTTCGGTGCGTTACTGCGTCTGCGACTACATTTACGCGGGACCTCGCCCACGGCCCATGAGGCTCAGGGCGTCAGAGGCGCTGGGGCTGTGGTGGCGCTGTTTGCATGTCTGAGGGATGTCCCAGGTAGGAGGATAGGCCAGG</v>
      </c>
      <c r="L197" t="str">
        <f t="shared" si="48"/>
        <v>CGGTG</v>
      </c>
      <c r="M197" t="str">
        <f t="shared" si="49"/>
        <v>TACTG</v>
      </c>
      <c r="N197">
        <f t="shared" si="50"/>
        <v>155</v>
      </c>
      <c r="O197">
        <f t="shared" si="51"/>
        <v>3</v>
      </c>
      <c r="P197" t="str">
        <f t="shared" si="45"/>
        <v>AGAGACAGGAGCCTTCGGTGCGTTACTGCGTCTGCGACTACAT</v>
      </c>
    </row>
    <row r="198" spans="1:16" x14ac:dyDescent="0.25">
      <c r="A198">
        <v>2071596</v>
      </c>
      <c r="B198" t="s">
        <v>26</v>
      </c>
      <c r="C198" t="s">
        <v>228</v>
      </c>
      <c r="E198">
        <f t="shared" si="44"/>
        <v>18</v>
      </c>
      <c r="F198" t="str">
        <f t="shared" si="46"/>
        <v>2071596_chr16:2071617-2071618:T&gt;A</v>
      </c>
      <c r="G198" s="1" t="s">
        <v>1004</v>
      </c>
      <c r="H198" t="s">
        <v>713</v>
      </c>
      <c r="I198" t="s">
        <v>980</v>
      </c>
      <c r="J198" t="s">
        <v>981</v>
      </c>
      <c r="K198" t="str">
        <f t="shared" si="47"/>
        <v>AGAGACAGGAGCCTTCGGTGTCGTACTGCGTCTGCGACTACATGAACGCGGGACCTCGCCCACGGCCCATGAGGCTCAGGGCGTCAGAGGCGCTGGGGCTGTGGTGGCGCTGTTTGCATGTCTGAGGGATGTCCCAGGTAGGAGGATAGGCCAGG</v>
      </c>
      <c r="L198" t="str">
        <f t="shared" si="48"/>
        <v>CGGTG</v>
      </c>
      <c r="M198" t="str">
        <f t="shared" si="49"/>
        <v>TACTG</v>
      </c>
      <c r="N198">
        <f t="shared" si="50"/>
        <v>155</v>
      </c>
      <c r="O198">
        <f t="shared" si="51"/>
        <v>3</v>
      </c>
      <c r="P198" t="str">
        <f t="shared" si="45"/>
        <v>AGAGACAGGAGCCTTCGGTGTCGTACTGCGTCTGCGACTACAT</v>
      </c>
    </row>
    <row r="199" spans="1:16" x14ac:dyDescent="0.25">
      <c r="A199">
        <v>2071596</v>
      </c>
      <c r="B199" t="s">
        <v>26</v>
      </c>
      <c r="C199" t="s">
        <v>229</v>
      </c>
      <c r="E199">
        <f t="shared" si="44"/>
        <v>18</v>
      </c>
      <c r="F199" t="str">
        <f t="shared" si="46"/>
        <v>2071596_chr16:2071617-2071618:T&gt;C</v>
      </c>
      <c r="G199" s="1" t="s">
        <v>995</v>
      </c>
      <c r="H199" t="s">
        <v>714</v>
      </c>
      <c r="I199" t="s">
        <v>978</v>
      </c>
      <c r="J199" t="s">
        <v>981</v>
      </c>
      <c r="K199" t="str">
        <f t="shared" si="47"/>
        <v>AGAGACAGGAGCCTTCGGTGTATTACTGCGTCTGCGACTACATGCACGCGGGACCTCGCCCACGGCCCATGAGGCTCAGGGCGTCAGAGGCGCTGGGGCTGTGGTGGCGCTGTTTGCATGTCTGAGGGATGTCCCAGGTAGGAGGATAGGCCAGG</v>
      </c>
      <c r="L199" t="str">
        <f t="shared" si="48"/>
        <v>CGGTG</v>
      </c>
      <c r="M199" t="str">
        <f t="shared" si="49"/>
        <v>TACTG</v>
      </c>
      <c r="N199">
        <f t="shared" si="50"/>
        <v>155</v>
      </c>
      <c r="O199">
        <f t="shared" si="51"/>
        <v>3</v>
      </c>
      <c r="P199" t="str">
        <f t="shared" si="45"/>
        <v>AGAGACAGGAGCCTTCGGTGTATTACTGCGTCTGCGACTACAT</v>
      </c>
    </row>
    <row r="200" spans="1:16" x14ac:dyDescent="0.25">
      <c r="A200">
        <v>2071596</v>
      </c>
      <c r="B200" t="s">
        <v>26</v>
      </c>
      <c r="C200" t="s">
        <v>230</v>
      </c>
      <c r="E200">
        <f t="shared" si="44"/>
        <v>18</v>
      </c>
      <c r="F200" t="str">
        <f t="shared" si="46"/>
        <v>2071596_chr16:2071619-2071620:C&gt;T</v>
      </c>
      <c r="G200" s="1" t="s">
        <v>996</v>
      </c>
      <c r="H200" t="s">
        <v>715</v>
      </c>
      <c r="I200" t="s">
        <v>978</v>
      </c>
      <c r="J200" t="s">
        <v>979</v>
      </c>
      <c r="K200" t="str">
        <f t="shared" si="47"/>
        <v>AGAGACAGGAGCCTTCGGTGAGTTACTGCGTCTGCGACTACATGTATGCGGGACCTCGCCCACGGCCCATGAGGCTCAGGGCGTCAGAGGCGCTGGGGCTGTGGTGGCGCTGTTTGCATGTCTGAGGGATGTCCCAGGTAGGAGGATAGGCCAGG</v>
      </c>
      <c r="L200" t="str">
        <f t="shared" si="48"/>
        <v>CGGTG</v>
      </c>
      <c r="M200" t="str">
        <f t="shared" si="49"/>
        <v>TACTG</v>
      </c>
      <c r="N200">
        <f t="shared" si="50"/>
        <v>155</v>
      </c>
      <c r="O200">
        <f t="shared" si="51"/>
        <v>3</v>
      </c>
      <c r="P200" t="str">
        <f t="shared" si="45"/>
        <v>AGAGACAGGAGCCTTCGGTGAGTTACTGCGTCTGCGACTACAT</v>
      </c>
    </row>
    <row r="201" spans="1:16" x14ac:dyDescent="0.25">
      <c r="A201">
        <v>2071596</v>
      </c>
      <c r="B201" t="s">
        <v>26</v>
      </c>
      <c r="C201" t="s">
        <v>231</v>
      </c>
      <c r="E201">
        <f t="shared" si="44"/>
        <v>18</v>
      </c>
      <c r="F201" t="str">
        <f t="shared" si="46"/>
        <v>2071596_chr16:2071620-2071621:G&gt;A</v>
      </c>
      <c r="G201" s="1" t="s">
        <v>998</v>
      </c>
      <c r="H201" t="s">
        <v>716</v>
      </c>
      <c r="I201" t="s">
        <v>980</v>
      </c>
      <c r="J201" t="s">
        <v>979</v>
      </c>
      <c r="K201" t="str">
        <f t="shared" si="47"/>
        <v>AGAGACAGGAGCCTTCGGTGGTATACTGCGTCTGCGACTACATGTACACGGGACCTCGCCCACGGCCCATGAGGCTCAGGGCGTCAGAGGCGCTGGGGCTGTGGTGGCGCTGTTTGCATGTCTGAGGGATGTCCCAGGTAGGAGGATAGGCCAGG</v>
      </c>
      <c r="L201" t="str">
        <f t="shared" si="48"/>
        <v>CGGTG</v>
      </c>
      <c r="M201" t="str">
        <f t="shared" si="49"/>
        <v>TACTG</v>
      </c>
      <c r="N201">
        <f t="shared" si="50"/>
        <v>155</v>
      </c>
      <c r="O201">
        <f t="shared" si="51"/>
        <v>3</v>
      </c>
      <c r="P201" t="str">
        <f t="shared" si="45"/>
        <v>AGAGACAGGAGCCTTCGGTGGTATACTGCGTCTGCGACTACAT</v>
      </c>
    </row>
    <row r="202" spans="1:16" x14ac:dyDescent="0.25">
      <c r="A202">
        <v>2071596</v>
      </c>
      <c r="B202" t="s">
        <v>26</v>
      </c>
      <c r="C202" t="s">
        <v>232</v>
      </c>
      <c r="E202">
        <f t="shared" si="44"/>
        <v>18</v>
      </c>
      <c r="F202" t="str">
        <f t="shared" si="46"/>
        <v>2071596_chr16:2071620-2071621:G&gt;T</v>
      </c>
      <c r="G202" s="1" t="s">
        <v>999</v>
      </c>
      <c r="H202" t="s">
        <v>717</v>
      </c>
      <c r="I202" t="s">
        <v>978</v>
      </c>
      <c r="J202" t="s">
        <v>979</v>
      </c>
      <c r="K202" t="str">
        <f t="shared" si="47"/>
        <v>AGAGACAGGAGCCTTCGGTGATATACTGCGTCTGCGACTACATGTACTCGGGACCTCGCCCACGGCCCATGAGGCTCAGGGCGTCAGAGGCGCTGGGGCTGTGGTGGCGCTGTTTGCATGTCTGAGGGATGTCCCAGGTAGGAGGATAGGCCAGG</v>
      </c>
      <c r="L202" t="str">
        <f t="shared" si="48"/>
        <v>CGGTG</v>
      </c>
      <c r="M202" t="str">
        <f t="shared" si="49"/>
        <v>TACTG</v>
      </c>
      <c r="N202">
        <f t="shared" si="50"/>
        <v>155</v>
      </c>
      <c r="O202">
        <f t="shared" si="51"/>
        <v>3</v>
      </c>
      <c r="P202" t="str">
        <f t="shared" si="45"/>
        <v>AGAGACAGGAGCCTTCGGTGATATACTGCGTCTGCGACTACAT</v>
      </c>
    </row>
    <row r="203" spans="1:16" x14ac:dyDescent="0.25">
      <c r="A203">
        <v>2071596</v>
      </c>
      <c r="B203" t="s">
        <v>26</v>
      </c>
      <c r="C203" t="s">
        <v>233</v>
      </c>
      <c r="E203">
        <f t="shared" si="44"/>
        <v>18</v>
      </c>
      <c r="F203" t="str">
        <f t="shared" si="46"/>
        <v>2071596_chr16:2071621-2071622:C&gt;A</v>
      </c>
      <c r="G203" s="1" t="s">
        <v>1000</v>
      </c>
      <c r="H203" t="s">
        <v>718</v>
      </c>
      <c r="I203" t="s">
        <v>978</v>
      </c>
      <c r="J203" t="s">
        <v>979</v>
      </c>
      <c r="K203" t="str">
        <f t="shared" si="47"/>
        <v>AGAGACAGGAGCCTTCGGTGAGCTACTGCGTCTGCGACTACATGTACGAGGGACCTCGCCCACGGCCCATGAGGCTCAGGGCGTCAGAGGCGCTGGGGCTGTGGTGGCGCTGTTTGCATGTCTGAGGGATGTCCCAGGTAGGAGGATAGGCCAGG</v>
      </c>
      <c r="L203" t="str">
        <f t="shared" si="48"/>
        <v>CGGTG</v>
      </c>
      <c r="M203" t="str">
        <f t="shared" si="49"/>
        <v>TACTG</v>
      </c>
      <c r="N203">
        <f t="shared" si="50"/>
        <v>155</v>
      </c>
      <c r="O203">
        <f t="shared" si="51"/>
        <v>3</v>
      </c>
      <c r="P203" t="str">
        <f t="shared" si="45"/>
        <v>AGAGACAGGAGCCTTCGGTGAGCTACTGCGTCTGCGACTACAT</v>
      </c>
    </row>
    <row r="204" spans="1:16" x14ac:dyDescent="0.25">
      <c r="A204">
        <v>2071596</v>
      </c>
      <c r="B204" t="s">
        <v>26</v>
      </c>
      <c r="C204" t="s">
        <v>234</v>
      </c>
      <c r="E204">
        <f t="shared" si="44"/>
        <v>18</v>
      </c>
      <c r="F204" t="str">
        <f t="shared" si="46"/>
        <v>2071596_chr16:2071621-2071622:C&gt;T</v>
      </c>
      <c r="G204" s="5" t="s">
        <v>1070</v>
      </c>
      <c r="H204" t="s">
        <v>719</v>
      </c>
      <c r="I204" t="s">
        <v>978</v>
      </c>
      <c r="J204" t="s">
        <v>979</v>
      </c>
      <c r="K204" t="str">
        <f t="shared" si="47"/>
        <v>AGAGACAGGAGCCTTCGGTGTGTTACTGCGTCTGCGACTACATGTACGTGGGACCTCGCCCACGGCCCATGAGGCTCAGGGCGTCAGAGGCGCTGGGGCTGTGGTGGCGCTGTTTGCATGTCTGAGGGATGTCCCAGGTAGGAGGATAGGCCAGG</v>
      </c>
      <c r="L204" t="str">
        <f t="shared" si="48"/>
        <v>CGGTG</v>
      </c>
      <c r="M204" t="str">
        <f t="shared" si="49"/>
        <v>TACTG</v>
      </c>
      <c r="N204">
        <f t="shared" si="50"/>
        <v>155</v>
      </c>
      <c r="O204">
        <f t="shared" si="51"/>
        <v>3</v>
      </c>
      <c r="P204" t="str">
        <f t="shared" si="45"/>
        <v>AGAGACAGGAGCCTTCGGTGTGTTACTGCGTCTGCGACTACAT</v>
      </c>
    </row>
    <row r="205" spans="1:16" x14ac:dyDescent="0.25">
      <c r="A205">
        <v>2071596</v>
      </c>
      <c r="B205" t="s">
        <v>26</v>
      </c>
      <c r="C205" t="s">
        <v>235</v>
      </c>
      <c r="E205">
        <f t="shared" si="44"/>
        <v>18</v>
      </c>
      <c r="F205" t="str">
        <f t="shared" si="46"/>
        <v>2071596_chr16:2071622-2071623:G&gt;A</v>
      </c>
      <c r="G205" s="1" t="s">
        <v>1005</v>
      </c>
      <c r="H205" t="s">
        <v>720</v>
      </c>
      <c r="I205" t="s">
        <v>978</v>
      </c>
      <c r="J205" t="s">
        <v>979</v>
      </c>
      <c r="K205" t="str">
        <f t="shared" si="47"/>
        <v>AGAGACAGGAGCCTTCGGTGACTTACTGCGTCTGCGACTACATGTACGCAGGACCTCGCCCACGGCCCATGAGGCTCAGGGCGTCAGAGGCGCTGGGGCTGTGGTGGCGCTGTTTGCATGTCTGAGGGATGTCCCAGGTAGGAGGATAGGCCAGG</v>
      </c>
      <c r="L205" t="str">
        <f t="shared" si="48"/>
        <v>CGGTG</v>
      </c>
      <c r="M205" t="str">
        <f t="shared" si="49"/>
        <v>TACTG</v>
      </c>
      <c r="N205">
        <f t="shared" si="50"/>
        <v>155</v>
      </c>
      <c r="O205">
        <f t="shared" si="51"/>
        <v>3</v>
      </c>
      <c r="P205" t="str">
        <f t="shared" si="45"/>
        <v>AGAGACAGGAGCCTTCGGTGACTTACTGCGTCTGCGACTACAT</v>
      </c>
    </row>
    <row r="206" spans="1:16" x14ac:dyDescent="0.25">
      <c r="A206">
        <v>2071596</v>
      </c>
      <c r="B206" t="s">
        <v>26</v>
      </c>
      <c r="C206" t="s">
        <v>236</v>
      </c>
      <c r="E206">
        <f t="shared" si="44"/>
        <v>18</v>
      </c>
      <c r="F206" t="str">
        <f t="shared" si="46"/>
        <v>2071596_chr16:2071624-2071625:G&gt;T</v>
      </c>
      <c r="G206" s="1" t="s">
        <v>1003</v>
      </c>
      <c r="H206" t="s">
        <v>721</v>
      </c>
      <c r="I206" t="s">
        <v>978</v>
      </c>
      <c r="J206" t="s">
        <v>979</v>
      </c>
      <c r="K206" t="str">
        <f t="shared" si="47"/>
        <v>AGAGACAGGAGCCTTCGGTGGCATACTGCGTCTGCGACTACATGTACGCGGTACCTCGCCCACGGCCCATGAGGCTCAGGGCGTCAGAGGCGCTGGGGCTGTGGTGGCGCTGTTTGCATGTCTGAGGGATGTCCCAGGTAGGAGGATAGGCCAGG</v>
      </c>
      <c r="L206" t="str">
        <f t="shared" si="48"/>
        <v>CGGTG</v>
      </c>
      <c r="M206" t="str">
        <f t="shared" si="49"/>
        <v>TACTG</v>
      </c>
      <c r="N206">
        <f t="shared" si="50"/>
        <v>155</v>
      </c>
      <c r="O206">
        <f t="shared" si="51"/>
        <v>3</v>
      </c>
      <c r="P206" t="str">
        <f t="shared" si="45"/>
        <v>AGAGACAGGAGCCTTCGGTGGCATACTGCGTCTGCGACTACAT</v>
      </c>
    </row>
    <row r="207" spans="1:16" x14ac:dyDescent="0.25">
      <c r="A207">
        <v>2071596</v>
      </c>
      <c r="B207" t="s">
        <v>26</v>
      </c>
      <c r="C207" t="s">
        <v>237</v>
      </c>
      <c r="E207">
        <f t="shared" si="44"/>
        <v>18</v>
      </c>
      <c r="F207" t="str">
        <f t="shared" si="46"/>
        <v>2071596_chr16:2071629-2071630:C&gt;T</v>
      </c>
      <c r="G207" s="1" t="s">
        <v>1006</v>
      </c>
      <c r="H207" t="s">
        <v>722</v>
      </c>
      <c r="I207" t="s">
        <v>978</v>
      </c>
      <c r="J207" t="s">
        <v>979</v>
      </c>
      <c r="K207" t="str">
        <f t="shared" si="47"/>
        <v>AGAGACAGGAGCCTTCGGTGCGATACTGCGTCTGCGACTACATGTACGCGGGACCTTGCCCACGGCCCATGAGGCTCAGGGCGTCAGAGGCGCTGGGGCTGTGGTGGCGCTGTTTGCATGTCTGAGGGATGTCCCAGGTAGGAGGATAGGCCAGG</v>
      </c>
      <c r="L207" t="str">
        <f t="shared" si="48"/>
        <v>CGGTG</v>
      </c>
      <c r="M207" t="str">
        <f t="shared" si="49"/>
        <v>TACTG</v>
      </c>
      <c r="N207">
        <f t="shared" si="50"/>
        <v>155</v>
      </c>
      <c r="O207">
        <f t="shared" si="51"/>
        <v>3</v>
      </c>
      <c r="P207" t="str">
        <f t="shared" si="45"/>
        <v>AGAGACAGGAGCCTTCGGTGCGATACTGCGTCTGCGACTACAT</v>
      </c>
    </row>
    <row r="208" spans="1:16" x14ac:dyDescent="0.25">
      <c r="A208">
        <v>2071596</v>
      </c>
      <c r="B208" t="s">
        <v>26</v>
      </c>
      <c r="C208" t="s">
        <v>238</v>
      </c>
      <c r="E208">
        <f t="shared" si="44"/>
        <v>18</v>
      </c>
      <c r="F208" t="str">
        <f t="shared" si="46"/>
        <v>2071596_chr16:2071630-2071631:G&gt;A</v>
      </c>
      <c r="G208" s="1" t="s">
        <v>1007</v>
      </c>
      <c r="H208" t="s">
        <v>723</v>
      </c>
      <c r="I208" t="s">
        <v>978</v>
      </c>
      <c r="J208" t="s">
        <v>979</v>
      </c>
      <c r="K208" t="str">
        <f t="shared" si="47"/>
        <v>AGAGACAGGAGCCTTCGGTGGGATACTGCGTCTGCGACTACATGTACGCGGGACCTCACCCACGGCCCATGAGGCTCAGGGCGTCAGAGGCGCTGGGGCTGTGGTGGCGCTGTTTGCATGTCTGAGGGATGTCCCAGGTAGGAGGATAGGCCAGG</v>
      </c>
      <c r="L208" t="str">
        <f t="shared" si="48"/>
        <v>CGGTG</v>
      </c>
      <c r="M208" t="str">
        <f t="shared" si="49"/>
        <v>TACTG</v>
      </c>
      <c r="N208">
        <f t="shared" si="50"/>
        <v>155</v>
      </c>
      <c r="O208">
        <f t="shared" si="51"/>
        <v>3</v>
      </c>
      <c r="P208" t="str">
        <f t="shared" si="45"/>
        <v>AGAGACAGGAGCCTTCGGTGGGATACTGCGTCTGCGACTACAT</v>
      </c>
    </row>
    <row r="209" spans="1:16" x14ac:dyDescent="0.25">
      <c r="A209">
        <v>2071596</v>
      </c>
      <c r="B209" t="s">
        <v>26</v>
      </c>
      <c r="C209" t="s">
        <v>239</v>
      </c>
      <c r="E209">
        <f t="shared" si="44"/>
        <v>18</v>
      </c>
      <c r="F209" t="str">
        <f t="shared" si="46"/>
        <v>2071596_chr16:2071635-2071636:C&gt;T</v>
      </c>
      <c r="G209" s="1" t="s">
        <v>1008</v>
      </c>
      <c r="H209" t="s">
        <v>724</v>
      </c>
      <c r="I209" t="s">
        <v>978</v>
      </c>
      <c r="J209" t="s">
        <v>979</v>
      </c>
      <c r="K209" t="str">
        <f t="shared" si="47"/>
        <v>AGAGACAGGAGCCTTCGGTGGATTACTGCGTCTGCGACTACATGTACGCGGGACCTCGCCCATGGCCCATGAGGCTCAGGGCGTCAGAGGCGCTGGGGCTGTGGTGGCGCTGTTTGCATGTCTGAGGGATGTCCCAGGTAGGAGGATAGGCCAGG</v>
      </c>
      <c r="L209" t="str">
        <f t="shared" si="48"/>
        <v>CGGTG</v>
      </c>
      <c r="M209" t="str">
        <f t="shared" si="49"/>
        <v>TACTG</v>
      </c>
      <c r="N209">
        <f t="shared" si="50"/>
        <v>155</v>
      </c>
      <c r="O209">
        <f t="shared" si="51"/>
        <v>3</v>
      </c>
      <c r="P209" t="str">
        <f t="shared" si="45"/>
        <v>AGAGACAGGAGCCTTCGGTGGATTACTGCGTCTGCGACTACAT</v>
      </c>
    </row>
    <row r="210" spans="1:16" x14ac:dyDescent="0.25">
      <c r="A210">
        <v>2071596</v>
      </c>
      <c r="B210" t="s">
        <v>26</v>
      </c>
      <c r="C210" t="s">
        <v>240</v>
      </c>
      <c r="E210">
        <f t="shared" si="44"/>
        <v>18</v>
      </c>
      <c r="F210" t="str">
        <f t="shared" si="46"/>
        <v>2071596_chr16:2071639-2071640:C&gt;T</v>
      </c>
      <c r="G210" s="1" t="s">
        <v>1002</v>
      </c>
      <c r="H210" t="s">
        <v>725</v>
      </c>
      <c r="I210" t="s">
        <v>978</v>
      </c>
      <c r="J210" t="s">
        <v>979</v>
      </c>
      <c r="K210" t="str">
        <f t="shared" si="47"/>
        <v>AGAGACAGGAGCCTTCGGTGTGCTACTGCGTCTGCGACTACATGTACGCGGGACCTCGCCCACGGCTCATGAGGCTCAGGGCGTCAGAGGCGCTGGGGCTGTGGTGGCGCTGTTTGCATGTCTGAGGGATGTCCCAGGTAGGAGGATAGGCCAGG</v>
      </c>
      <c r="L210" t="str">
        <f t="shared" si="48"/>
        <v>CGGTG</v>
      </c>
      <c r="M210" t="str">
        <f t="shared" si="49"/>
        <v>TACTG</v>
      </c>
      <c r="N210">
        <f t="shared" si="50"/>
        <v>155</v>
      </c>
      <c r="O210">
        <f t="shared" si="51"/>
        <v>3</v>
      </c>
      <c r="P210" t="str">
        <f t="shared" si="45"/>
        <v>AGAGACAGGAGCCTTCGGTGTGCTACTGCGTCTGCGACTACAT</v>
      </c>
    </row>
    <row r="211" spans="1:16" x14ac:dyDescent="0.25">
      <c r="A211">
        <v>2071596</v>
      </c>
      <c r="B211" t="s">
        <v>26</v>
      </c>
      <c r="C211" t="s">
        <v>241</v>
      </c>
      <c r="E211">
        <f t="shared" si="44"/>
        <v>18</v>
      </c>
      <c r="F211" t="str">
        <f t="shared" si="46"/>
        <v>2071596_chr16:2071675-2071676:G&gt;C</v>
      </c>
      <c r="G211" s="5" t="s">
        <v>1071</v>
      </c>
      <c r="H211" t="s">
        <v>726</v>
      </c>
      <c r="I211" t="s">
        <v>978</v>
      </c>
      <c r="J211" t="s">
        <v>979</v>
      </c>
      <c r="K211" t="str">
        <f t="shared" si="47"/>
        <v>AGAGACAGGAGCCTTCGGTGACGTACTGCGTCTGCGACTACATGTACGCGGGACCTCGCCCACGGCCCATGAGGCTCAGGGCGTCAGAGGCGCTGGGGCTGTCGTGGCGCTGTTTGCATGTCTGAGGGATGTCCCAGGTAGGAGGATAGGCCAGG</v>
      </c>
      <c r="L211" t="str">
        <f t="shared" si="48"/>
        <v>CGGTG</v>
      </c>
      <c r="M211" t="str">
        <f t="shared" si="49"/>
        <v>TACTG</v>
      </c>
      <c r="N211">
        <f t="shared" si="50"/>
        <v>155</v>
      </c>
      <c r="O211">
        <f t="shared" si="51"/>
        <v>3</v>
      </c>
      <c r="P211" t="str">
        <f t="shared" si="45"/>
        <v>AGAGACAGGAGCCTTCGGTGACGTACTGCGTCTGCGACTACAT</v>
      </c>
    </row>
    <row r="212" spans="1:16" x14ac:dyDescent="0.25">
      <c r="A212">
        <v>2071914</v>
      </c>
      <c r="B212" t="s">
        <v>27</v>
      </c>
      <c r="C212" t="s">
        <v>242</v>
      </c>
      <c r="D212" t="s">
        <v>534</v>
      </c>
      <c r="E212">
        <f t="shared" si="44"/>
        <v>8</v>
      </c>
      <c r="F212" t="str">
        <f>(A212&amp;"_"&amp;D212)</f>
        <v>2071914_wt</v>
      </c>
      <c r="G212" s="5" t="s">
        <v>1075</v>
      </c>
      <c r="H212" t="s">
        <v>511</v>
      </c>
      <c r="I212" t="s">
        <v>978</v>
      </c>
      <c r="J212" t="s">
        <v>979</v>
      </c>
      <c r="K212" t="str">
        <f t="shared" si="47"/>
        <v>AGAGACAGGAGCCTTCGGTGCGATGCTGCAGTGCTTGAAGCAGGTGAGTGGGGCCGGGCAGGGACCATCCGTCCCACGTTGGGCCAGGAGGACAGGGAGCTGCCACCTGCCTGCTGGGCCTCCCTCCCTGTCTGGAGGTAGGAGGATAGGCCAGG</v>
      </c>
      <c r="L212" t="str">
        <f t="shared" si="48"/>
        <v>CGGTG</v>
      </c>
      <c r="M212" t="str">
        <f t="shared" si="49"/>
        <v>TGCTG</v>
      </c>
      <c r="N212">
        <f t="shared" si="50"/>
        <v>155</v>
      </c>
      <c r="O212">
        <f t="shared" si="51"/>
        <v>3</v>
      </c>
      <c r="P212" t="str">
        <f t="shared" si="45"/>
        <v>AGAGACAGGAGCCTTCGGTGCGATGCTGCAGTGCTTGAAGCAG</v>
      </c>
    </row>
    <row r="213" spans="1:16" x14ac:dyDescent="0.25">
      <c r="A213">
        <v>2071914</v>
      </c>
      <c r="B213" t="s">
        <v>27</v>
      </c>
      <c r="C213" t="s">
        <v>242</v>
      </c>
      <c r="E213">
        <f t="shared" si="44"/>
        <v>8</v>
      </c>
      <c r="F213" t="str">
        <f t="shared" ref="F213:F219" si="52">(A213&amp;"_"&amp;C213)</f>
        <v>2071914_chr16:2071938-2071939:G&gt;C</v>
      </c>
      <c r="G213" s="1" t="s">
        <v>997</v>
      </c>
      <c r="H213" t="s">
        <v>727</v>
      </c>
      <c r="I213" t="s">
        <v>978</v>
      </c>
      <c r="J213" t="s">
        <v>979</v>
      </c>
      <c r="K213" t="str">
        <f t="shared" si="47"/>
        <v>AGAGACAGGAGCCTTCGGTGTGATGCTGCAGTGCTTGAAGCAGGTGACTGGGGCCGGGCAGGGACCATCCGTCCCACGTTGGGCCAGGAGGACAGGGAGCTGCCACCTGCCTGCTGGGCCTCCCTCCCTGTCTGGAGGTAGGAGGATAGGCCAGG</v>
      </c>
      <c r="L213" t="str">
        <f t="shared" si="48"/>
        <v>CGGTG</v>
      </c>
      <c r="M213" t="str">
        <f t="shared" si="49"/>
        <v>TGCTG</v>
      </c>
      <c r="N213">
        <f t="shared" si="50"/>
        <v>155</v>
      </c>
      <c r="O213">
        <f t="shared" si="51"/>
        <v>3</v>
      </c>
      <c r="P213" t="str">
        <f t="shared" si="45"/>
        <v>AGAGACAGGAGCCTTCGGTGTGATGCTGCAGTGCTTGAAGCAG</v>
      </c>
    </row>
    <row r="214" spans="1:16" x14ac:dyDescent="0.25">
      <c r="A214">
        <v>2071914</v>
      </c>
      <c r="B214" t="s">
        <v>27</v>
      </c>
      <c r="C214" t="s">
        <v>243</v>
      </c>
      <c r="E214">
        <f t="shared" si="44"/>
        <v>8</v>
      </c>
      <c r="F214" t="str">
        <f t="shared" si="52"/>
        <v>2071914_chr16:2071945-2071946:C&gt;T</v>
      </c>
      <c r="G214" s="5" t="s">
        <v>1073</v>
      </c>
      <c r="H214" t="s">
        <v>728</v>
      </c>
      <c r="I214" t="s">
        <v>978</v>
      </c>
      <c r="J214" t="s">
        <v>979</v>
      </c>
      <c r="K214" t="str">
        <f t="shared" si="47"/>
        <v>AGAGACAGGAGCCTTCGGTGAGCTGCTGCAGTGCTTGAAGCAGGTGAGTGGGGCTGGGCAGGGACCATCCGTCCCACGTTGGGCCAGGAGGACAGGGAGCTGCCACCTGCCTGCTGGGCCTCCCTCCCTGTCTGGAGGTAGGAGGATAGGCCAGG</v>
      </c>
      <c r="L214" t="str">
        <f t="shared" si="48"/>
        <v>CGGTG</v>
      </c>
      <c r="M214" t="str">
        <f t="shared" si="49"/>
        <v>TGCTG</v>
      </c>
      <c r="N214">
        <f t="shared" si="50"/>
        <v>155</v>
      </c>
      <c r="O214">
        <f t="shared" si="51"/>
        <v>3</v>
      </c>
      <c r="P214" t="str">
        <f t="shared" si="45"/>
        <v>AGAGACAGGAGCCTTCGGTGAGCTGCTGCAGTGCTTGAAGCAG</v>
      </c>
    </row>
    <row r="215" spans="1:16" x14ac:dyDescent="0.25">
      <c r="A215">
        <v>2071914</v>
      </c>
      <c r="B215" t="s">
        <v>27</v>
      </c>
      <c r="C215" t="s">
        <v>244</v>
      </c>
      <c r="E215">
        <f t="shared" si="44"/>
        <v>8</v>
      </c>
      <c r="F215" t="str">
        <f t="shared" si="52"/>
        <v>2071914_chr16:2071946-2071947:G&gt;A</v>
      </c>
      <c r="G215" s="1" t="s">
        <v>1001</v>
      </c>
      <c r="H215" t="s">
        <v>729</v>
      </c>
      <c r="I215" t="s">
        <v>978</v>
      </c>
      <c r="J215" t="s">
        <v>981</v>
      </c>
      <c r="K215" t="str">
        <f t="shared" si="47"/>
        <v>AGAGACAGGAGCCTTCGGTGCGTTGCTGCAGTGCTTGAAGCAGGTGAGTGGGGCCAGGCAGGGACCATCCGTCCCACGTTGGGCCAGGAGGACAGGGAGCTGCCACCTGCCTGCTGGGCCTCCCTCCCTGTCTGGAGGTAGGAGGATAGGCCAGG</v>
      </c>
      <c r="L215" t="str">
        <f t="shared" si="48"/>
        <v>CGGTG</v>
      </c>
      <c r="M215" t="str">
        <f t="shared" si="49"/>
        <v>TGCTG</v>
      </c>
      <c r="N215">
        <f t="shared" si="50"/>
        <v>155</v>
      </c>
      <c r="O215">
        <f t="shared" si="51"/>
        <v>3</v>
      </c>
      <c r="P215" t="str">
        <f t="shared" si="45"/>
        <v>AGAGACAGGAGCCTTCGGTGCGTTGCTGCAGTGCTTGAAGCAG</v>
      </c>
    </row>
    <row r="216" spans="1:16" x14ac:dyDescent="0.25">
      <c r="A216">
        <v>2071914</v>
      </c>
      <c r="B216" t="s">
        <v>27</v>
      </c>
      <c r="C216" t="s">
        <v>245</v>
      </c>
      <c r="E216">
        <f t="shared" si="44"/>
        <v>8</v>
      </c>
      <c r="F216" t="str">
        <f t="shared" si="52"/>
        <v>2071914_chr16:2071949-2071954:CAGGG&gt;-</v>
      </c>
      <c r="G216" s="1" t="s">
        <v>1004</v>
      </c>
      <c r="H216" t="s">
        <v>730</v>
      </c>
      <c r="I216" t="s">
        <v>978</v>
      </c>
      <c r="J216" t="s">
        <v>979</v>
      </c>
      <c r="K216" t="str">
        <f t="shared" si="47"/>
        <v>AGAGACAGGAGCCTTCGGTGTCGTGCTGCAGTGCTTGAAGCAGGTGAGTGGGGCCGGGACCATCCGTCCCACGTTGGGCCAGGAGGACAGGGAGCTGCCACCTGCCTGCTGGGCCTCCCTCCCTGTCTGGAGGTAGGAGGATAGGCCAGG</v>
      </c>
      <c r="L216" t="str">
        <f t="shared" si="48"/>
        <v>CGGTG</v>
      </c>
      <c r="M216" t="str">
        <f t="shared" si="49"/>
        <v>TGCTG</v>
      </c>
      <c r="N216">
        <f t="shared" si="50"/>
        <v>150</v>
      </c>
      <c r="O216">
        <f t="shared" si="51"/>
        <v>3</v>
      </c>
      <c r="P216" t="str">
        <f t="shared" si="45"/>
        <v>AGAGACAGGAGCCTTCGGTGTCGTGCTGCAGTGCTTGAAGCAG</v>
      </c>
    </row>
    <row r="217" spans="1:16" x14ac:dyDescent="0.25">
      <c r="A217">
        <v>2071914</v>
      </c>
      <c r="B217" t="s">
        <v>27</v>
      </c>
      <c r="C217" t="s">
        <v>246</v>
      </c>
      <c r="E217">
        <f t="shared" si="44"/>
        <v>8</v>
      </c>
      <c r="F217" t="str">
        <f t="shared" si="52"/>
        <v>2071914_chr16:2071961-2071962:G&gt;A</v>
      </c>
      <c r="G217" s="5" t="s">
        <v>1076</v>
      </c>
      <c r="H217" t="s">
        <v>731</v>
      </c>
      <c r="I217" t="s">
        <v>978</v>
      </c>
      <c r="J217" t="s">
        <v>979</v>
      </c>
      <c r="K217" t="str">
        <f t="shared" si="47"/>
        <v>AGAGACAGGAGCCTTCGGTGTGCTGCTGCAGTGCTTGAAGCAGGTGAGTGGGGCCGGGCAGGGACCATCCATCCCACGTTGGGCCAGGAGGACAGGGAGCTGCCACCTGCCTGCTGGGCCTCCCTCCCTGTCTGGAGGTAGGAGGATAGGCCAGG</v>
      </c>
      <c r="L217" t="str">
        <f t="shared" si="48"/>
        <v>CGGTG</v>
      </c>
      <c r="M217" t="str">
        <f t="shared" si="49"/>
        <v>TGCTG</v>
      </c>
      <c r="N217">
        <f t="shared" si="50"/>
        <v>155</v>
      </c>
      <c r="O217">
        <f t="shared" si="51"/>
        <v>3</v>
      </c>
      <c r="P217" t="str">
        <f t="shared" si="45"/>
        <v>AGAGACAGGAGCCTTCGGTGTGCTGCTGCAGTGCTTGAAGCAG</v>
      </c>
    </row>
    <row r="218" spans="1:16" x14ac:dyDescent="0.25">
      <c r="A218">
        <v>2071914</v>
      </c>
      <c r="B218" t="s">
        <v>27</v>
      </c>
      <c r="C218" t="s">
        <v>247</v>
      </c>
      <c r="E218">
        <f t="shared" si="44"/>
        <v>8</v>
      </c>
      <c r="F218" t="str">
        <f t="shared" si="52"/>
        <v>2071914_chr16:2071968-2071969:G&gt;A</v>
      </c>
      <c r="G218" s="1" t="s">
        <v>996</v>
      </c>
      <c r="H218" t="s">
        <v>732</v>
      </c>
      <c r="I218" t="s">
        <v>978</v>
      </c>
      <c r="J218" t="s">
        <v>979</v>
      </c>
      <c r="K218" t="str">
        <f t="shared" si="47"/>
        <v>AGAGACAGGAGCCTTCGGTGAGTTGCTGCAGTGCTTGAAGCAGGTGAGTGGGGCCGGGCAGGGACCATCCGTCCCACATTGGGCCAGGAGGACAGGGAGCTGCCACCTGCCTGCTGGGCCTCCCTCCCTGTCTGGAGGTAGGAGGATAGGCCAGG</v>
      </c>
      <c r="L218" t="str">
        <f t="shared" si="48"/>
        <v>CGGTG</v>
      </c>
      <c r="M218" t="str">
        <f t="shared" si="49"/>
        <v>TGCTG</v>
      </c>
      <c r="N218">
        <f t="shared" si="50"/>
        <v>155</v>
      </c>
      <c r="O218">
        <f t="shared" si="51"/>
        <v>3</v>
      </c>
      <c r="P218" t="str">
        <f t="shared" si="45"/>
        <v>AGAGACAGGAGCCTTCGGTGAGTTGCTGCAGTGCTTGAAGCAG</v>
      </c>
    </row>
    <row r="219" spans="1:16" x14ac:dyDescent="0.25">
      <c r="A219">
        <v>2071914</v>
      </c>
      <c r="B219" t="s">
        <v>27</v>
      </c>
      <c r="C219" t="s">
        <v>248</v>
      </c>
      <c r="E219">
        <f t="shared" si="44"/>
        <v>8</v>
      </c>
      <c r="F219" t="str">
        <f t="shared" si="52"/>
        <v>2071914_chr16:2071976-2071977:A&gt;G</v>
      </c>
      <c r="G219" s="5" t="s">
        <v>1077</v>
      </c>
      <c r="H219" t="s">
        <v>733</v>
      </c>
      <c r="I219" t="s">
        <v>978</v>
      </c>
      <c r="J219" t="s">
        <v>979</v>
      </c>
      <c r="K219" t="str">
        <f t="shared" si="47"/>
        <v>AGAGACAGGAGCCTTCGGTGTGTTGCTGCAGTGCTTGAAGCAGGTGAGTGGGGCCGGGCAGGGACCATCCGTCCCACGTTGGGCCGGGAGGACAGGGAGCTGCCACCTGCCTGCTGGGCCTCCCTCCCTGTCTGGAGGTAGGAGGATAGGCCAGG</v>
      </c>
      <c r="L219" t="str">
        <f t="shared" si="48"/>
        <v>CGGTG</v>
      </c>
      <c r="M219" t="str">
        <f t="shared" si="49"/>
        <v>TGCTG</v>
      </c>
      <c r="N219">
        <f t="shared" si="50"/>
        <v>155</v>
      </c>
      <c r="O219">
        <f t="shared" si="51"/>
        <v>3</v>
      </c>
      <c r="P219" t="str">
        <f t="shared" si="45"/>
        <v>AGAGACAGGAGCCTTCGGTGTGTTGCTGCAGTGCTTGAAGCAG</v>
      </c>
    </row>
    <row r="220" spans="1:16" x14ac:dyDescent="0.25">
      <c r="A220">
        <v>2072343</v>
      </c>
      <c r="B220" t="s">
        <v>28</v>
      </c>
      <c r="C220" t="s">
        <v>249</v>
      </c>
      <c r="D220" t="s">
        <v>534</v>
      </c>
      <c r="E220">
        <f t="shared" si="44"/>
        <v>11</v>
      </c>
      <c r="F220" t="str">
        <f>(A220&amp;"_"&amp;D220)</f>
        <v>2072343_wt</v>
      </c>
      <c r="G220" t="s">
        <v>982</v>
      </c>
      <c r="H220" t="s">
        <v>512</v>
      </c>
      <c r="I220" t="s">
        <v>978</v>
      </c>
      <c r="J220" t="s">
        <v>979</v>
      </c>
      <c r="K220" t="str">
        <f t="shared" si="47"/>
        <v>AGAGACAGGAGCCTTCGGTGTAGCTCTGCTCTCTGCTCCATGGTACCATGGCCGGCCTGGGGTTGGGGTGGGGGACCCAGTAGGGTTTTTCCCCAAAAGACTGCGAGCCTCTGGGCAGAGCGAGTGAGACCCTTAGGTAGGAGGATAGGCCAGG</v>
      </c>
      <c r="L220" t="str">
        <f t="shared" si="48"/>
        <v>CGGTG</v>
      </c>
      <c r="M220" t="str">
        <f t="shared" si="49"/>
        <v>GCTCT</v>
      </c>
      <c r="N220">
        <f t="shared" si="50"/>
        <v>154</v>
      </c>
      <c r="O220">
        <f t="shared" si="51"/>
        <v>2</v>
      </c>
      <c r="P220" t="str">
        <f t="shared" ref="P220:P243" si="53">LEFT(K220,42)</f>
        <v>AGAGACAGGAGCCTTCGGTGTAGCTCTGCTCTCTGCTCCATG</v>
      </c>
    </row>
    <row r="221" spans="1:16" x14ac:dyDescent="0.25">
      <c r="A221">
        <v>2072343</v>
      </c>
      <c r="B221" t="s">
        <v>28</v>
      </c>
      <c r="C221" t="s">
        <v>249</v>
      </c>
      <c r="E221">
        <f t="shared" si="44"/>
        <v>11</v>
      </c>
      <c r="F221" t="str">
        <f t="shared" ref="F221:F230" si="54">(A221&amp;"_"&amp;C221)</f>
        <v>2072343_chr16:2072363-2072364:G&gt;A</v>
      </c>
      <c r="G221" t="s">
        <v>983</v>
      </c>
      <c r="H221" t="s">
        <v>734</v>
      </c>
      <c r="I221" t="s">
        <v>978</v>
      </c>
      <c r="J221" t="s">
        <v>979</v>
      </c>
      <c r="K221" t="str">
        <f t="shared" si="47"/>
        <v>AGAGACAGGAGCCTTCGGTGAGGCTCTGCTCTCTGCTCCATGATACCATGGCCGGCCTGGGGTTGGGGTGGGGGACCCAGTAGGGTTTTTCCCCAAAAGACTGCGAGCCTCTGGGCAGAGCGAGTGAGACCCTTAGGTAGGAGGATAGGCCAGG</v>
      </c>
      <c r="L221" t="str">
        <f t="shared" si="48"/>
        <v>CGGTG</v>
      </c>
      <c r="M221" t="str">
        <f t="shared" si="49"/>
        <v>GCTCT</v>
      </c>
      <c r="N221">
        <f t="shared" si="50"/>
        <v>154</v>
      </c>
      <c r="O221">
        <f t="shared" si="51"/>
        <v>2</v>
      </c>
      <c r="P221" t="str">
        <f t="shared" si="53"/>
        <v>AGAGACAGGAGCCTTCGGTGAGGCTCTGCTCTCTGCTCCATG</v>
      </c>
    </row>
    <row r="222" spans="1:16" x14ac:dyDescent="0.25">
      <c r="A222">
        <v>2072343</v>
      </c>
      <c r="B222" t="s">
        <v>28</v>
      </c>
      <c r="C222" t="s">
        <v>250</v>
      </c>
      <c r="E222">
        <f t="shared" si="44"/>
        <v>11</v>
      </c>
      <c r="F222" t="str">
        <f t="shared" si="54"/>
        <v>2072343_chr16:2072363-2072364:G&gt;T</v>
      </c>
      <c r="G222" t="s">
        <v>984</v>
      </c>
      <c r="H222" t="s">
        <v>735</v>
      </c>
      <c r="I222" t="s">
        <v>978</v>
      </c>
      <c r="J222" t="s">
        <v>979</v>
      </c>
      <c r="K222" t="str">
        <f t="shared" si="47"/>
        <v>AGAGACAGGAGCCTTCGGTGCAGCTCTGCTCTCTGCTCCATGTTACCATGGCCGGCCTGGGGTTGGGGTGGGGGACCCAGTAGGGTTTTTCCCCAAAAGACTGCGAGCCTCTGGGCAGAGCGAGTGAGACCCTTAGGTAGGAGGATAGGCCAGG</v>
      </c>
      <c r="L222" t="str">
        <f t="shared" si="48"/>
        <v>CGGTG</v>
      </c>
      <c r="M222" t="str">
        <f t="shared" si="49"/>
        <v>GCTCT</v>
      </c>
      <c r="N222">
        <f t="shared" si="50"/>
        <v>154</v>
      </c>
      <c r="O222">
        <f t="shared" si="51"/>
        <v>2</v>
      </c>
      <c r="P222" t="str">
        <f t="shared" si="53"/>
        <v>AGAGACAGGAGCCTTCGGTGCAGCTCTGCTCTCTGCTCCATG</v>
      </c>
    </row>
    <row r="223" spans="1:16" x14ac:dyDescent="0.25">
      <c r="A223">
        <v>2072343</v>
      </c>
      <c r="B223" t="s">
        <v>28</v>
      </c>
      <c r="C223" t="s">
        <v>251</v>
      </c>
      <c r="E223">
        <f t="shared" si="44"/>
        <v>11</v>
      </c>
      <c r="F223" t="str">
        <f t="shared" si="54"/>
        <v>2072343_chr16:2072364-2072365:T&gt;G</v>
      </c>
      <c r="G223" t="s">
        <v>985</v>
      </c>
      <c r="H223" t="s">
        <v>736</v>
      </c>
      <c r="I223" t="s">
        <v>978</v>
      </c>
      <c r="J223" t="s">
        <v>981</v>
      </c>
      <c r="K223" t="str">
        <f t="shared" si="47"/>
        <v>AGAGACAGGAGCCTTCGGTGATGCTCTGCTCTCTGCTCCATGGGACCATGGCCGGCCTGGGGTTGGGGTGGGGGACCCAGTAGGGTTTTTCCCCAAAAGACTGCGAGCCTCTGGGCAGAGCGAGTGAGACCCTTAGGTAGGAGGATAGGCCAGG</v>
      </c>
      <c r="L223" t="str">
        <f t="shared" si="48"/>
        <v>CGGTG</v>
      </c>
      <c r="M223" t="str">
        <f t="shared" si="49"/>
        <v>GCTCT</v>
      </c>
      <c r="N223">
        <f t="shared" si="50"/>
        <v>154</v>
      </c>
      <c r="O223">
        <f t="shared" si="51"/>
        <v>2</v>
      </c>
      <c r="P223" t="str">
        <f t="shared" si="53"/>
        <v>AGAGACAGGAGCCTTCGGTGATGCTCTGCTCTCTGCTCCATG</v>
      </c>
    </row>
    <row r="224" spans="1:16" x14ac:dyDescent="0.25">
      <c r="A224">
        <v>2072343</v>
      </c>
      <c r="B224" t="s">
        <v>28</v>
      </c>
      <c r="C224" t="s">
        <v>252</v>
      </c>
      <c r="E224">
        <f t="shared" si="44"/>
        <v>11</v>
      </c>
      <c r="F224" t="str">
        <f t="shared" si="54"/>
        <v>2072343_chr16:2072365-2072366:A&gt;C</v>
      </c>
      <c r="G224" t="s">
        <v>1036</v>
      </c>
      <c r="H224" t="s">
        <v>737</v>
      </c>
      <c r="I224" t="s">
        <v>978</v>
      </c>
      <c r="J224" t="s">
        <v>979</v>
      </c>
      <c r="K224" t="str">
        <f t="shared" si="47"/>
        <v>AGAGACAGGAGCCTTCGGTGTGGCTCTGCTCTCTGCTCCATGGTCCCATGGCCGGCCTGGGGTTGGGGTGGGGGACCCAGTAGGGTTTTTCCCCAAAAGACTGCGAGCCTCTGGGCAGAGCGAGTGAGACCCTTAGGTAGGAGGATAGGCCAGG</v>
      </c>
      <c r="L224" t="str">
        <f t="shared" si="48"/>
        <v>CGGTG</v>
      </c>
      <c r="M224" t="str">
        <f t="shared" si="49"/>
        <v>GCTCT</v>
      </c>
      <c r="N224">
        <f t="shared" si="50"/>
        <v>154</v>
      </c>
      <c r="O224">
        <f t="shared" si="51"/>
        <v>2</v>
      </c>
      <c r="P224" t="str">
        <f t="shared" si="53"/>
        <v>AGAGACAGGAGCCTTCGGTGTGGCTCTGCTCTCTGCTCCATG</v>
      </c>
    </row>
    <row r="225" spans="1:16" x14ac:dyDescent="0.25">
      <c r="A225">
        <v>2072343</v>
      </c>
      <c r="B225" t="s">
        <v>28</v>
      </c>
      <c r="C225" t="s">
        <v>253</v>
      </c>
      <c r="E225">
        <f t="shared" si="44"/>
        <v>11</v>
      </c>
      <c r="F225" t="str">
        <f t="shared" si="54"/>
        <v>2072343_chr16:2072366-2072367:C&gt;G</v>
      </c>
      <c r="G225" s="4" t="s">
        <v>1078</v>
      </c>
      <c r="H225" t="s">
        <v>738</v>
      </c>
      <c r="I225" t="s">
        <v>978</v>
      </c>
      <c r="J225" t="s">
        <v>979</v>
      </c>
      <c r="K225" t="str">
        <f t="shared" si="47"/>
        <v>AGAGACAGGAGCCTTCGGTGTCGCTCTGCTCTCTGCTCCATGGTAGCATGGCCGGCCTGGGGTTGGGGTGGGGGACCCAGTAGGGTTTTTCCCCAAAAGACTGCGAGCCTCTGGGCAGAGCGAGTGAGACCCTTAGGTAGGAGGATAGGCCAGG</v>
      </c>
      <c r="L225" t="str">
        <f t="shared" si="48"/>
        <v>CGGTG</v>
      </c>
      <c r="M225" t="str">
        <f t="shared" si="49"/>
        <v>GCTCT</v>
      </c>
      <c r="N225">
        <f t="shared" si="50"/>
        <v>154</v>
      </c>
      <c r="O225">
        <f t="shared" si="51"/>
        <v>2</v>
      </c>
      <c r="P225" t="str">
        <f t="shared" si="53"/>
        <v>AGAGACAGGAGCCTTCGGTGTCGCTCTGCTCTCTGCTCCATG</v>
      </c>
    </row>
    <row r="226" spans="1:16" x14ac:dyDescent="0.25">
      <c r="A226">
        <v>2072343</v>
      </c>
      <c r="B226" t="s">
        <v>28</v>
      </c>
      <c r="C226" t="s">
        <v>254</v>
      </c>
      <c r="E226">
        <f t="shared" si="44"/>
        <v>11</v>
      </c>
      <c r="F226" t="str">
        <f t="shared" si="54"/>
        <v>2072343_chr16:2072373-2072374:C&gt;T</v>
      </c>
      <c r="G226" t="s">
        <v>987</v>
      </c>
      <c r="H226" t="s">
        <v>739</v>
      </c>
      <c r="I226" t="s">
        <v>978</v>
      </c>
      <c r="J226" t="s">
        <v>981</v>
      </c>
      <c r="K226" t="str">
        <f t="shared" si="47"/>
        <v>AGAGACAGGAGCCTTCGGTGGCGCTCTGCTCTCTGCTCCATGGTACCATGGCTGGCCTGGGGTTGGGGTGGGGGACCCAGTAGGGTTTTTCCCCAAAAGACTGCGAGCCTCTGGGCAGAGCGAGTGAGACCCTTAGGTAGGAGGATAGGCCAGG</v>
      </c>
      <c r="L226" t="str">
        <f t="shared" si="48"/>
        <v>CGGTG</v>
      </c>
      <c r="M226" t="str">
        <f t="shared" si="49"/>
        <v>GCTCT</v>
      </c>
      <c r="N226">
        <f t="shared" si="50"/>
        <v>154</v>
      </c>
      <c r="O226">
        <f t="shared" si="51"/>
        <v>2</v>
      </c>
      <c r="P226" t="str">
        <f t="shared" si="53"/>
        <v>AGAGACAGGAGCCTTCGGTGGCGCTCTGCTCTCTGCTCCATG</v>
      </c>
    </row>
    <row r="227" spans="1:16" x14ac:dyDescent="0.25">
      <c r="A227">
        <v>2072343</v>
      </c>
      <c r="B227" t="s">
        <v>28</v>
      </c>
      <c r="C227" t="s">
        <v>255</v>
      </c>
      <c r="E227">
        <f t="shared" si="44"/>
        <v>11</v>
      </c>
      <c r="F227" t="str">
        <f t="shared" si="54"/>
        <v>2072343_chr16:2072374-2072375:G&gt;A</v>
      </c>
      <c r="G227" t="s">
        <v>988</v>
      </c>
      <c r="H227" t="s">
        <v>740</v>
      </c>
      <c r="I227" t="s">
        <v>978</v>
      </c>
      <c r="J227" t="s">
        <v>979</v>
      </c>
      <c r="K227" t="str">
        <f t="shared" si="47"/>
        <v>AGAGACAGGAGCCTTCGGTGACGCTCTGCTCTCTGCTCCATGGTACCATGGCCAGCCTGGGGTTGGGGTGGGGGACCCAGTAGGGTTTTTCCCCAAAAGACTGCGAGCCTCTGGGCAGAGCGAGTGAGACCCTTAGGTAGGAGGATAGGCCAGG</v>
      </c>
      <c r="L227" t="str">
        <f t="shared" si="48"/>
        <v>CGGTG</v>
      </c>
      <c r="M227" t="str">
        <f t="shared" si="49"/>
        <v>GCTCT</v>
      </c>
      <c r="N227">
        <f t="shared" si="50"/>
        <v>154</v>
      </c>
      <c r="O227">
        <f t="shared" si="51"/>
        <v>2</v>
      </c>
      <c r="P227" t="str">
        <f t="shared" si="53"/>
        <v>AGAGACAGGAGCCTTCGGTGACGCTCTGCTCTCTGCTCCATG</v>
      </c>
    </row>
    <row r="228" spans="1:16" x14ac:dyDescent="0.25">
      <c r="A228">
        <v>2072343</v>
      </c>
      <c r="B228" t="s">
        <v>28</v>
      </c>
      <c r="C228" t="s">
        <v>256</v>
      </c>
      <c r="E228">
        <f t="shared" si="44"/>
        <v>11</v>
      </c>
      <c r="F228" t="str">
        <f t="shared" si="54"/>
        <v>2072343_chr16:2072382-2072383:G&gt;-</v>
      </c>
      <c r="G228" t="s">
        <v>989</v>
      </c>
      <c r="H228" t="s">
        <v>741</v>
      </c>
      <c r="I228" t="s">
        <v>978</v>
      </c>
      <c r="J228" t="s">
        <v>979</v>
      </c>
      <c r="K228" t="str">
        <f t="shared" si="47"/>
        <v>AGAGACAGGAGCCTTCGGTGCGGCTCTGCTCTCTGCTCCATGGTACCATGGCCGGCCTGGGTTGGGGTGGGGGACCCAGTAGGGTTTTTCCCCAAAAGACTGCGAGCCTCTGGGCAGAGCGAGTGAGACCCTTAGGTAGGAGGATAGGCCAGG</v>
      </c>
      <c r="L228" t="str">
        <f t="shared" si="48"/>
        <v>CGGTG</v>
      </c>
      <c r="M228" t="str">
        <f t="shared" si="49"/>
        <v>GCTCT</v>
      </c>
      <c r="N228">
        <f t="shared" si="50"/>
        <v>153</v>
      </c>
      <c r="O228">
        <f t="shared" si="51"/>
        <v>2</v>
      </c>
      <c r="P228" t="str">
        <f t="shared" si="53"/>
        <v>AGAGACAGGAGCCTTCGGTGCGGCTCTGCTCTCTGCTCCATG</v>
      </c>
    </row>
    <row r="229" spans="1:16" x14ac:dyDescent="0.25">
      <c r="A229">
        <v>2072343</v>
      </c>
      <c r="B229" t="s">
        <v>28</v>
      </c>
      <c r="C229" t="s">
        <v>257</v>
      </c>
      <c r="E229">
        <f t="shared" si="44"/>
        <v>11</v>
      </c>
      <c r="F229" t="str">
        <f t="shared" si="54"/>
        <v>2072343_chr16:2072387-2072388:G&gt;C</v>
      </c>
      <c r="G229" t="s">
        <v>990</v>
      </c>
      <c r="H229" t="s">
        <v>742</v>
      </c>
      <c r="I229" t="s">
        <v>978</v>
      </c>
      <c r="J229" t="s">
        <v>979</v>
      </c>
      <c r="K229" t="str">
        <f t="shared" si="47"/>
        <v>AGAGACAGGAGCCTTCGGTGGTGCTCTGCTCTCTGCTCCATGGTACCATGGCCGGCCTGGGGTTGGCGTGGGGGACCCAGTAGGGTTTTTCCCCAAAAGACTGCGAGCCTCTGGGCAGAGCGAGTGAGACCCTTAGGTAGGAGGATAGGCCAGG</v>
      </c>
      <c r="L229" t="str">
        <f t="shared" si="48"/>
        <v>CGGTG</v>
      </c>
      <c r="M229" t="str">
        <f t="shared" si="49"/>
        <v>GCTCT</v>
      </c>
      <c r="N229">
        <f t="shared" si="50"/>
        <v>154</v>
      </c>
      <c r="O229">
        <f t="shared" si="51"/>
        <v>2</v>
      </c>
      <c r="P229" t="str">
        <f t="shared" si="53"/>
        <v>AGAGACAGGAGCCTTCGGTGGTGCTCTGCTCTCTGCTCCATG</v>
      </c>
    </row>
    <row r="230" spans="1:16" x14ac:dyDescent="0.25">
      <c r="A230">
        <v>2072343</v>
      </c>
      <c r="B230" t="s">
        <v>28</v>
      </c>
      <c r="C230" t="s">
        <v>258</v>
      </c>
      <c r="E230">
        <f t="shared" si="44"/>
        <v>11</v>
      </c>
      <c r="F230" t="str">
        <f t="shared" si="54"/>
        <v>2072343_chr16:2072394-2072395:G&gt;-</v>
      </c>
      <c r="G230" t="s">
        <v>991</v>
      </c>
      <c r="H230" t="s">
        <v>743</v>
      </c>
      <c r="I230" t="s">
        <v>978</v>
      </c>
      <c r="J230" t="s">
        <v>979</v>
      </c>
      <c r="K230" t="str">
        <f t="shared" si="47"/>
        <v>AGAGACAGGAGCCTTCGGTGGAGCTCTGCTCTCTGCTCCATGGTACCATGGCCGGCCTGGGGTTGGGGTGGGGACCCAGTAGGGTTTTTCCCCAAAAGACTGCGAGCCTCTGGGCAGAGCGAGTGAGACCCTTAGGTAGGAGGATAGGCCAGG</v>
      </c>
      <c r="L230" t="str">
        <f t="shared" si="48"/>
        <v>CGGTG</v>
      </c>
      <c r="M230" t="str">
        <f t="shared" si="49"/>
        <v>GCTCT</v>
      </c>
      <c r="N230">
        <f t="shared" si="50"/>
        <v>153</v>
      </c>
      <c r="O230">
        <f t="shared" si="51"/>
        <v>2</v>
      </c>
      <c r="P230" t="str">
        <f t="shared" si="53"/>
        <v>AGAGACAGGAGCCTTCGGTGGAGCTCTGCTCTCTGCTCCATG</v>
      </c>
    </row>
    <row r="231" spans="1:16" x14ac:dyDescent="0.25">
      <c r="A231">
        <v>2072963</v>
      </c>
      <c r="B231" t="s">
        <v>29</v>
      </c>
      <c r="C231" t="s">
        <v>259</v>
      </c>
      <c r="D231" t="s">
        <v>534</v>
      </c>
      <c r="E231">
        <f t="shared" si="44"/>
        <v>13</v>
      </c>
      <c r="F231" t="str">
        <f>(A231&amp;"_"&amp;D231)</f>
        <v>2072963_wt</v>
      </c>
      <c r="G231" t="s">
        <v>982</v>
      </c>
      <c r="H231" t="s">
        <v>513</v>
      </c>
      <c r="I231" t="s">
        <v>978</v>
      </c>
      <c r="J231" t="s">
        <v>979</v>
      </c>
      <c r="K231" t="str">
        <f t="shared" si="47"/>
        <v>AGAGACAGGAGCCTTCGGTGTAACCTGGACAAAACCAAACAGGTAGGAGGTCAGAGCAGGACAGGCGAGCTTGATGGGGCCTGGGATTCGAGGGCCTGGCCCAGGTAGGCCCCACATTTTTCTCATAAACGAGTAGGTAGGAGGATAGGCCAGG</v>
      </c>
      <c r="L231" t="str">
        <f t="shared" si="48"/>
        <v>CGGTG</v>
      </c>
      <c r="M231" t="str">
        <f t="shared" si="49"/>
        <v>ACCTG</v>
      </c>
      <c r="N231">
        <f t="shared" si="50"/>
        <v>154</v>
      </c>
      <c r="O231">
        <f t="shared" si="51"/>
        <v>2</v>
      </c>
      <c r="P231" t="str">
        <f t="shared" si="53"/>
        <v>AGAGACAGGAGCCTTCGGTGTAACCTGGACAAAACCAAACAG</v>
      </c>
    </row>
    <row r="232" spans="1:16" x14ac:dyDescent="0.25">
      <c r="A232">
        <v>2072963</v>
      </c>
      <c r="B232" t="s">
        <v>29</v>
      </c>
      <c r="C232" t="s">
        <v>259</v>
      </c>
      <c r="E232">
        <f t="shared" si="44"/>
        <v>13</v>
      </c>
      <c r="F232" t="str">
        <f t="shared" ref="F232:F243" si="55">(A232&amp;"_"&amp;C232)</f>
        <v>2072963_chr16:2072983-2072984:G&gt;A</v>
      </c>
      <c r="G232" t="s">
        <v>983</v>
      </c>
      <c r="H232" t="s">
        <v>744</v>
      </c>
      <c r="I232" t="s">
        <v>978</v>
      </c>
      <c r="J232" t="s">
        <v>979</v>
      </c>
      <c r="K232" t="str">
        <f t="shared" si="47"/>
        <v>AGAGACAGGAGCCTTCGGTGAGACCTGGACAAAACCAAACAGATAGGAGGTCAGAGCAGGACAGGCGAGCTTGATGGGGCCTGGGATTCGAGGGCCTGGCCCAGGTAGGCCCCACATTTTTCTCATAAACGAGTAGGTAGGAGGATAGGCCAGG</v>
      </c>
      <c r="L232" t="str">
        <f t="shared" si="48"/>
        <v>CGGTG</v>
      </c>
      <c r="M232" t="str">
        <f t="shared" si="49"/>
        <v>ACCTG</v>
      </c>
      <c r="N232">
        <f t="shared" si="50"/>
        <v>154</v>
      </c>
      <c r="O232">
        <f t="shared" si="51"/>
        <v>2</v>
      </c>
      <c r="P232" t="str">
        <f t="shared" si="53"/>
        <v>AGAGACAGGAGCCTTCGGTGAGACCTGGACAAAACCAAACAG</v>
      </c>
    </row>
    <row r="233" spans="1:16" x14ac:dyDescent="0.25">
      <c r="A233">
        <v>2072963</v>
      </c>
      <c r="B233" t="s">
        <v>29</v>
      </c>
      <c r="C233" t="s">
        <v>260</v>
      </c>
      <c r="E233">
        <f t="shared" si="44"/>
        <v>13</v>
      </c>
      <c r="F233" t="str">
        <f t="shared" si="55"/>
        <v>2072963_chr16:2072983-2072984:G&gt;C</v>
      </c>
      <c r="G233" t="s">
        <v>984</v>
      </c>
      <c r="H233" t="s">
        <v>745</v>
      </c>
      <c r="I233" t="s">
        <v>978</v>
      </c>
      <c r="J233" t="s">
        <v>979</v>
      </c>
      <c r="K233" t="str">
        <f t="shared" si="47"/>
        <v>AGAGACAGGAGCCTTCGGTGCAACCTGGACAAAACCAAACAGCTAGGAGGTCAGAGCAGGACAGGCGAGCTTGATGGGGCCTGGGATTCGAGGGCCTGGCCCAGGTAGGCCCCACATTTTTCTCATAAACGAGTAGGTAGGAGGATAGGCCAGG</v>
      </c>
      <c r="L233" t="str">
        <f t="shared" si="48"/>
        <v>CGGTG</v>
      </c>
      <c r="M233" t="str">
        <f t="shared" si="49"/>
        <v>ACCTG</v>
      </c>
      <c r="N233">
        <f t="shared" si="50"/>
        <v>154</v>
      </c>
      <c r="O233">
        <f t="shared" si="51"/>
        <v>2</v>
      </c>
      <c r="P233" t="str">
        <f t="shared" si="53"/>
        <v>AGAGACAGGAGCCTTCGGTGCAACCTGGACAAAACCAAACAG</v>
      </c>
    </row>
    <row r="234" spans="1:16" x14ac:dyDescent="0.25">
      <c r="A234">
        <v>2072963</v>
      </c>
      <c r="B234" t="s">
        <v>29</v>
      </c>
      <c r="C234" t="s">
        <v>261</v>
      </c>
      <c r="E234">
        <f t="shared" si="44"/>
        <v>13</v>
      </c>
      <c r="F234" t="str">
        <f t="shared" si="55"/>
        <v>2072963_chr16:2072983-2072984:G&gt;T</v>
      </c>
      <c r="G234" t="s">
        <v>985</v>
      </c>
      <c r="H234" t="s">
        <v>746</v>
      </c>
      <c r="I234" t="s">
        <v>978</v>
      </c>
      <c r="J234" t="s">
        <v>979</v>
      </c>
      <c r="K234" t="str">
        <f t="shared" si="47"/>
        <v>AGAGACAGGAGCCTTCGGTGATACCTGGACAAAACCAAACAGTTAGGAGGTCAGAGCAGGACAGGCGAGCTTGATGGGGCCTGGGATTCGAGGGCCTGGCCCAGGTAGGCCCCACATTTTTCTCATAAACGAGTAGGTAGGAGGATAGGCCAGG</v>
      </c>
      <c r="L234" t="str">
        <f t="shared" si="48"/>
        <v>CGGTG</v>
      </c>
      <c r="M234" t="str">
        <f t="shared" si="49"/>
        <v>ACCTG</v>
      </c>
      <c r="N234">
        <f t="shared" si="50"/>
        <v>154</v>
      </c>
      <c r="O234">
        <f t="shared" si="51"/>
        <v>2</v>
      </c>
      <c r="P234" t="str">
        <f t="shared" si="53"/>
        <v>AGAGACAGGAGCCTTCGGTGATACCTGGACAAAACCAAACAG</v>
      </c>
    </row>
    <row r="235" spans="1:16" x14ac:dyDescent="0.25">
      <c r="A235">
        <v>2072963</v>
      </c>
      <c r="B235" t="s">
        <v>29</v>
      </c>
      <c r="C235" t="s">
        <v>262</v>
      </c>
      <c r="E235">
        <f t="shared" si="44"/>
        <v>13</v>
      </c>
      <c r="F235" t="str">
        <f t="shared" si="55"/>
        <v>2072963_chr16:2072984-2072985:T&gt;A</v>
      </c>
      <c r="G235" t="s">
        <v>1037</v>
      </c>
      <c r="H235" t="s">
        <v>747</v>
      </c>
      <c r="I235" t="s">
        <v>978</v>
      </c>
      <c r="J235" t="s">
        <v>979</v>
      </c>
      <c r="K235" t="str">
        <f t="shared" si="47"/>
        <v>AGAGACAGGAGCCTTCGGTGTGACCTGGACAAAACCAAACAGGAAGGAGGTCAGAGCAGGACAGGCGAGCTTGATGGGGCCTGGGATTCGAGGGCCTGGCCCAGGTAGGCCCCACATTTTTCTCATAAACGAGTAGGTAGGAGGATAGGCCAGG</v>
      </c>
      <c r="L235" t="str">
        <f t="shared" si="48"/>
        <v>CGGTG</v>
      </c>
      <c r="M235" t="str">
        <f t="shared" si="49"/>
        <v>ACCTG</v>
      </c>
      <c r="N235">
        <f t="shared" si="50"/>
        <v>154</v>
      </c>
      <c r="O235">
        <f t="shared" si="51"/>
        <v>2</v>
      </c>
      <c r="P235" t="str">
        <f t="shared" si="53"/>
        <v>AGAGACAGGAGCCTTCGGTGTGACCTGGACAAAACCAAACAG</v>
      </c>
    </row>
    <row r="236" spans="1:16" x14ac:dyDescent="0.25">
      <c r="A236">
        <v>2072963</v>
      </c>
      <c r="B236" t="s">
        <v>29</v>
      </c>
      <c r="C236" t="s">
        <v>263</v>
      </c>
      <c r="E236">
        <f t="shared" si="44"/>
        <v>13</v>
      </c>
      <c r="F236" t="str">
        <f t="shared" si="55"/>
        <v>2072963_chr16:2072984-2072985:T&gt;C</v>
      </c>
      <c r="G236" s="4" t="s">
        <v>1079</v>
      </c>
      <c r="H236" t="s">
        <v>748</v>
      </c>
      <c r="I236" t="s">
        <v>978</v>
      </c>
      <c r="J236" t="s">
        <v>979</v>
      </c>
      <c r="K236" t="str">
        <f t="shared" si="47"/>
        <v>AGAGACAGGAGCCTTCGGTGCCACCTGGACAAAACCAAACAGGCAGGAGGTCAGAGCAGGACAGGCGAGCTTGATGGGGCCTGGGATTCGAGGGCCTGGCCCAGGTAGGCCCCACATTTTTCTCATAAACGAGTAGGTAGGAGGATAGGCCAGG</v>
      </c>
      <c r="L236" t="str">
        <f t="shared" si="48"/>
        <v>CGGTG</v>
      </c>
      <c r="M236" t="str">
        <f t="shared" si="49"/>
        <v>ACCTG</v>
      </c>
      <c r="N236">
        <f t="shared" si="50"/>
        <v>154</v>
      </c>
      <c r="O236">
        <f t="shared" si="51"/>
        <v>2</v>
      </c>
      <c r="P236" t="str">
        <f t="shared" si="53"/>
        <v>AGAGACAGGAGCCTTCGGTGCCACCTGGACAAAACCAAACAG</v>
      </c>
    </row>
    <row r="237" spans="1:16" x14ac:dyDescent="0.25">
      <c r="A237">
        <v>2072963</v>
      </c>
      <c r="B237" t="s">
        <v>29</v>
      </c>
      <c r="C237" t="s">
        <v>264</v>
      </c>
      <c r="E237">
        <f t="shared" si="44"/>
        <v>13</v>
      </c>
      <c r="F237" t="str">
        <f t="shared" si="55"/>
        <v>2072963_chr16:2072984-2072988:TAGG&gt;-</v>
      </c>
      <c r="G237" t="s">
        <v>987</v>
      </c>
      <c r="H237" t="s">
        <v>749</v>
      </c>
      <c r="I237" t="s">
        <v>978</v>
      </c>
      <c r="J237" t="s">
        <v>979</v>
      </c>
      <c r="K237" t="str">
        <f t="shared" si="47"/>
        <v>AGAGACAGGAGCCTTCGGTGGCACCTGGACAAAACCAAACAGGAGGTCAGAGCAGGACAGGCGAGCTTGATGGGGCCTGGGATTCGAGGGCCTGGCCCAGGTAGGCCCCACATTTTTCTCATAAACGAGTAGGTAGGAGGATAGGCCAGG</v>
      </c>
      <c r="L237" t="str">
        <f t="shared" si="48"/>
        <v>CGGTG</v>
      </c>
      <c r="M237" t="str">
        <f t="shared" si="49"/>
        <v>ACCTG</v>
      </c>
      <c r="N237">
        <f t="shared" si="50"/>
        <v>150</v>
      </c>
      <c r="O237">
        <f t="shared" si="51"/>
        <v>2</v>
      </c>
      <c r="P237" t="str">
        <f t="shared" si="53"/>
        <v>AGAGACAGGAGCCTTCGGTGGCACCTGGACAAAACCAAACAG</v>
      </c>
    </row>
    <row r="238" spans="1:16" x14ac:dyDescent="0.25">
      <c r="A238">
        <v>2072963</v>
      </c>
      <c r="B238" t="s">
        <v>29</v>
      </c>
      <c r="C238" t="s">
        <v>265</v>
      </c>
      <c r="E238">
        <f t="shared" si="44"/>
        <v>13</v>
      </c>
      <c r="F238" t="str">
        <f t="shared" si="55"/>
        <v>2072963_chr16:2072987-2072988:G&gt;A</v>
      </c>
      <c r="G238" t="s">
        <v>988</v>
      </c>
      <c r="H238" t="s">
        <v>750</v>
      </c>
      <c r="I238" t="s">
        <v>978</v>
      </c>
      <c r="J238" t="s">
        <v>981</v>
      </c>
      <c r="K238" t="str">
        <f t="shared" si="47"/>
        <v>AGAGACAGGAGCCTTCGGTGACACCTGGACAAAACCAAACAGGTAGAAGGTCAGAGCAGGACAGGCGAGCTTGATGGGGCCTGGGATTCGAGGGCCTGGCCCAGGTAGGCCCCACATTTTTCTCATAAACGAGTAGGTAGGAGGATAGGCCAGG</v>
      </c>
      <c r="L238" t="str">
        <f t="shared" si="48"/>
        <v>CGGTG</v>
      </c>
      <c r="M238" t="str">
        <f t="shared" si="49"/>
        <v>ACCTG</v>
      </c>
      <c r="N238">
        <f t="shared" si="50"/>
        <v>154</v>
      </c>
      <c r="O238">
        <f t="shared" si="51"/>
        <v>2</v>
      </c>
      <c r="P238" t="str">
        <f t="shared" si="53"/>
        <v>AGAGACAGGAGCCTTCGGTGACACCTGGACAAAACCAAACAG</v>
      </c>
    </row>
    <row r="239" spans="1:16" x14ac:dyDescent="0.25">
      <c r="A239">
        <v>2072963</v>
      </c>
      <c r="B239" t="s">
        <v>29</v>
      </c>
      <c r="C239" t="s">
        <v>266</v>
      </c>
      <c r="E239">
        <f t="shared" si="44"/>
        <v>13</v>
      </c>
      <c r="F239" t="str">
        <f t="shared" si="55"/>
        <v>2072963_chr16:2072988-2072989:A&gt;T</v>
      </c>
      <c r="G239" t="s">
        <v>989</v>
      </c>
      <c r="H239" t="s">
        <v>751</v>
      </c>
      <c r="I239" t="s">
        <v>978</v>
      </c>
      <c r="J239" t="s">
        <v>979</v>
      </c>
      <c r="K239" t="str">
        <f t="shared" si="47"/>
        <v>AGAGACAGGAGCCTTCGGTGCGACCTGGACAAAACCAAACAGGTAGGTGGTCAGAGCAGGACAGGCGAGCTTGATGGGGCCTGGGATTCGAGGGCCTGGCCCAGGTAGGCCCCACATTTTTCTCATAAACGAGTAGGTAGGAGGATAGGCCAGG</v>
      </c>
      <c r="L239" t="str">
        <f t="shared" si="48"/>
        <v>CGGTG</v>
      </c>
      <c r="M239" t="str">
        <f t="shared" si="49"/>
        <v>ACCTG</v>
      </c>
      <c r="N239">
        <f t="shared" si="50"/>
        <v>154</v>
      </c>
      <c r="O239">
        <f t="shared" si="51"/>
        <v>2</v>
      </c>
      <c r="P239" t="str">
        <f t="shared" si="53"/>
        <v>AGAGACAGGAGCCTTCGGTGCGACCTGGACAAAACCAAACAG</v>
      </c>
    </row>
    <row r="240" spans="1:16" x14ac:dyDescent="0.25">
      <c r="A240">
        <v>2072963</v>
      </c>
      <c r="B240" t="s">
        <v>29</v>
      </c>
      <c r="C240" t="s">
        <v>267</v>
      </c>
      <c r="E240">
        <f t="shared" si="44"/>
        <v>13</v>
      </c>
      <c r="F240" t="str">
        <f t="shared" si="55"/>
        <v>2072963_chr16:2072989-2072990:G&gt;A</v>
      </c>
      <c r="G240" t="s">
        <v>990</v>
      </c>
      <c r="H240" t="s">
        <v>752</v>
      </c>
      <c r="I240" t="s">
        <v>978</v>
      </c>
      <c r="J240" t="s">
        <v>979</v>
      </c>
      <c r="K240" t="str">
        <f t="shared" si="47"/>
        <v>AGAGACAGGAGCCTTCGGTGGTACCTGGACAAAACCAAACAGGTAGGAAGTCAGAGCAGGACAGGCGAGCTTGATGGGGCCTGGGATTCGAGGGCCTGGCCCAGGTAGGCCCCACATTTTTCTCATAAACGAGTAGGTAGGAGGATAGGCCAGG</v>
      </c>
      <c r="L240" t="str">
        <f t="shared" si="48"/>
        <v>CGGTG</v>
      </c>
      <c r="M240" t="str">
        <f t="shared" si="49"/>
        <v>ACCTG</v>
      </c>
      <c r="N240">
        <f t="shared" si="50"/>
        <v>154</v>
      </c>
      <c r="O240">
        <f t="shared" si="51"/>
        <v>2</v>
      </c>
      <c r="P240" t="str">
        <f t="shared" si="53"/>
        <v>AGAGACAGGAGCCTTCGGTGGTACCTGGACAAAACCAAACAG</v>
      </c>
    </row>
    <row r="241" spans="1:16" x14ac:dyDescent="0.25">
      <c r="A241">
        <v>2072963</v>
      </c>
      <c r="B241" t="s">
        <v>29</v>
      </c>
      <c r="C241" t="s">
        <v>268</v>
      </c>
      <c r="E241">
        <f t="shared" si="44"/>
        <v>13</v>
      </c>
      <c r="F241" t="str">
        <f t="shared" si="55"/>
        <v>2072963_chr16:2072990-2072991:G&gt;A</v>
      </c>
      <c r="G241" t="s">
        <v>991</v>
      </c>
      <c r="H241" t="s">
        <v>753</v>
      </c>
      <c r="I241" t="s">
        <v>980</v>
      </c>
      <c r="J241" t="s">
        <v>979</v>
      </c>
      <c r="K241" t="str">
        <f t="shared" si="47"/>
        <v>AGAGACAGGAGCCTTCGGTGGAACCTGGACAAAACCAAACAGGTAGGAGATCAGAGCAGGACAGGCGAGCTTGATGGGGCCTGGGATTCGAGGGCCTGGCCCAGGTAGGCCCCACATTTTTCTCATAAACGAGTAGGTAGGAGGATAGGCCAGG</v>
      </c>
      <c r="L241" t="str">
        <f t="shared" si="48"/>
        <v>CGGTG</v>
      </c>
      <c r="M241" t="str">
        <f t="shared" si="49"/>
        <v>ACCTG</v>
      </c>
      <c r="N241">
        <f t="shared" si="50"/>
        <v>154</v>
      </c>
      <c r="O241">
        <f t="shared" si="51"/>
        <v>2</v>
      </c>
      <c r="P241" t="str">
        <f t="shared" si="53"/>
        <v>AGAGACAGGAGCCTTCGGTGGAACCTGGACAAAACCAAACAG</v>
      </c>
    </row>
    <row r="242" spans="1:16" x14ac:dyDescent="0.25">
      <c r="A242">
        <v>2072963</v>
      </c>
      <c r="B242" t="s">
        <v>29</v>
      </c>
      <c r="C242" t="s">
        <v>269</v>
      </c>
      <c r="E242">
        <f t="shared" si="44"/>
        <v>13</v>
      </c>
      <c r="F242" t="str">
        <f t="shared" si="55"/>
        <v>2072963_chr16:2073002-2073003:C&gt;T</v>
      </c>
      <c r="G242" t="s">
        <v>992</v>
      </c>
      <c r="H242" t="s">
        <v>754</v>
      </c>
      <c r="I242" t="s">
        <v>978</v>
      </c>
      <c r="J242" t="s">
        <v>979</v>
      </c>
      <c r="K242" t="str">
        <f t="shared" si="47"/>
        <v>AGAGACAGGAGCCTTCGGTGTCACCTGGACAAAACCAAACAGGTAGGAGGTCAGAGCAGGATAGGCGAGCTTGATGGGGCCTGGGATTCGAGGGCCTGGCCCAGGTAGGCCCCACATTTTTCTCATAAACGAGTAGGTAGGAGGATAGGCCAGG</v>
      </c>
      <c r="L242" t="str">
        <f t="shared" si="48"/>
        <v>CGGTG</v>
      </c>
      <c r="M242" t="str">
        <f t="shared" si="49"/>
        <v>ACCTG</v>
      </c>
      <c r="N242">
        <f t="shared" si="50"/>
        <v>154</v>
      </c>
      <c r="O242">
        <f t="shared" si="51"/>
        <v>2</v>
      </c>
      <c r="P242" t="str">
        <f t="shared" si="53"/>
        <v>AGAGACAGGAGCCTTCGGTGTCACCTGGACAAAACCAAACAG</v>
      </c>
    </row>
    <row r="243" spans="1:16" x14ac:dyDescent="0.25">
      <c r="A243">
        <v>2072963</v>
      </c>
      <c r="B243" t="s">
        <v>29</v>
      </c>
      <c r="C243" t="s">
        <v>270</v>
      </c>
      <c r="E243">
        <f t="shared" si="44"/>
        <v>13</v>
      </c>
      <c r="F243" t="str">
        <f t="shared" si="55"/>
        <v>2072963_chr16:2073006-2073007:C&gt;T</v>
      </c>
      <c r="G243" s="2" t="s">
        <v>1045</v>
      </c>
      <c r="H243" t="s">
        <v>755</v>
      </c>
      <c r="I243" t="s">
        <v>978</v>
      </c>
      <c r="J243" t="s">
        <v>979</v>
      </c>
      <c r="K243" t="str">
        <f t="shared" si="47"/>
        <v>AGAGACAGGAGCCTTCGGTGAAACCTGGACAAAACCAAACAGGTAGGAGGTCAGAGCAGGACAGGTGAGCTTGATGGGGCCTGGGATTCGAGGGCCTGGCCCAGGTAGGCCCCACATTTTTCTCATAAACGAGTAGGTAGGAGGATAGGCCAGG</v>
      </c>
      <c r="L243" t="str">
        <f t="shared" si="48"/>
        <v>CGGTG</v>
      </c>
      <c r="M243" t="str">
        <f t="shared" si="49"/>
        <v>ACCTG</v>
      </c>
      <c r="N243">
        <f t="shared" si="50"/>
        <v>154</v>
      </c>
      <c r="O243">
        <f t="shared" si="51"/>
        <v>2</v>
      </c>
      <c r="P243" t="str">
        <f t="shared" si="53"/>
        <v>AGAGACAGGAGCCTTCGGTGAAACCTGGACAAAACCAAACAG</v>
      </c>
    </row>
    <row r="244" spans="1:16" x14ac:dyDescent="0.25">
      <c r="A244">
        <v>2074369</v>
      </c>
      <c r="B244" t="s">
        <v>30</v>
      </c>
      <c r="C244" t="s">
        <v>271</v>
      </c>
      <c r="D244" t="s">
        <v>534</v>
      </c>
      <c r="E244">
        <f t="shared" si="44"/>
        <v>16</v>
      </c>
      <c r="F244" t="str">
        <f>(A244&amp;"_"&amp;D244)</f>
        <v>2074369_wt</v>
      </c>
      <c r="G244" s="1" t="s">
        <v>1006</v>
      </c>
      <c r="H244" t="s">
        <v>514</v>
      </c>
      <c r="I244" t="s">
        <v>978</v>
      </c>
      <c r="J244" t="s">
        <v>979</v>
      </c>
      <c r="K244" t="str">
        <f t="shared" si="47"/>
        <v>AGAGACAGGAGCCTTCGGTGCGAACTGCTGGAGTTCCTGTCCAGTGAGTCCCCGCCCTGCCTGCGCATGCACCCGAGAGGTTCGGGCTGTGTAACCTGTGCGGGCTTCTCTGGTGCCCTCTCTCAGGACTCCTTGAGGTAGGAGGATAGGCCAGG</v>
      </c>
      <c r="L244" t="str">
        <f t="shared" si="48"/>
        <v>CGGTG</v>
      </c>
      <c r="M244" t="str">
        <f t="shared" si="49"/>
        <v>ACTGC</v>
      </c>
      <c r="N244">
        <f t="shared" si="50"/>
        <v>155</v>
      </c>
      <c r="O244">
        <f t="shared" si="51"/>
        <v>3</v>
      </c>
      <c r="P244" t="str">
        <f t="shared" ref="P244:P287" si="56">LEFT(K244,43)</f>
        <v>AGAGACAGGAGCCTTCGGTGCGAACTGCTGGAGTTCCTGTCCA</v>
      </c>
    </row>
    <row r="245" spans="1:16" x14ac:dyDescent="0.25">
      <c r="A245">
        <v>2074369</v>
      </c>
      <c r="B245" t="s">
        <v>30</v>
      </c>
      <c r="C245" t="s">
        <v>271</v>
      </c>
      <c r="E245">
        <f t="shared" si="44"/>
        <v>16</v>
      </c>
      <c r="F245" t="str">
        <f t="shared" ref="F245:F259" si="57">(A245&amp;"_"&amp;C245)</f>
        <v>2074369_chr16:2074389-2074390:G&gt;A</v>
      </c>
      <c r="G245" s="5" t="s">
        <v>1080</v>
      </c>
      <c r="H245" t="s">
        <v>756</v>
      </c>
      <c r="I245" t="s">
        <v>978</v>
      </c>
      <c r="J245" t="s">
        <v>979</v>
      </c>
      <c r="K245" t="str">
        <f t="shared" si="47"/>
        <v>AGAGACAGGAGCCTTCGGTGAGCACTGCTGGAGTTCCTGTCCAATGAGTCCCCGCCCTGCCTGCGCATGCACCCGAGAGGTTCGGGCTGTGTAACCTGTGCGGGCTTCTCTGGTGCCCTCTCTCAGGACTCCTTGAGGTAGGAGGATAGGCCAGG</v>
      </c>
      <c r="L245" t="str">
        <f t="shared" si="48"/>
        <v>CGGTG</v>
      </c>
      <c r="M245" t="str">
        <f t="shared" si="49"/>
        <v>ACTGC</v>
      </c>
      <c r="N245">
        <f t="shared" si="50"/>
        <v>155</v>
      </c>
      <c r="O245">
        <f t="shared" si="51"/>
        <v>3</v>
      </c>
      <c r="P245" t="str">
        <f t="shared" si="56"/>
        <v>AGAGACAGGAGCCTTCGGTGAGCACTGCTGGAGTTCCTGTCCA</v>
      </c>
    </row>
    <row r="246" spans="1:16" x14ac:dyDescent="0.25">
      <c r="A246">
        <v>2074369</v>
      </c>
      <c r="B246" t="s">
        <v>30</v>
      </c>
      <c r="C246" t="s">
        <v>272</v>
      </c>
      <c r="E246">
        <f t="shared" si="44"/>
        <v>16</v>
      </c>
      <c r="F246" t="str">
        <f t="shared" si="57"/>
        <v>2074369_chr16:2074390-2074391:T&gt;C</v>
      </c>
      <c r="G246" s="1" t="s">
        <v>1002</v>
      </c>
      <c r="H246" t="s">
        <v>757</v>
      </c>
      <c r="I246" t="s">
        <v>978</v>
      </c>
      <c r="J246" t="s">
        <v>979</v>
      </c>
      <c r="K246" t="str">
        <f t="shared" si="47"/>
        <v>AGAGACAGGAGCCTTCGGTGTGCACTGCTGGAGTTCCTGTCCAGCGAGTCCCCGCCCTGCCTGCGCATGCACCCGAGAGGTTCGGGCTGTGTAACCTGTGCGGGCTTCTCTGGTGCCCTCTCTCAGGACTCCTTGAGGTAGGAGGATAGGCCAGG</v>
      </c>
      <c r="L246" t="str">
        <f t="shared" si="48"/>
        <v>CGGTG</v>
      </c>
      <c r="M246" t="str">
        <f t="shared" si="49"/>
        <v>ACTGC</v>
      </c>
      <c r="N246">
        <f t="shared" si="50"/>
        <v>155</v>
      </c>
      <c r="O246">
        <f t="shared" si="51"/>
        <v>3</v>
      </c>
      <c r="P246" t="str">
        <f t="shared" si="56"/>
        <v>AGAGACAGGAGCCTTCGGTGTGCACTGCTGGAGTTCCTGTCCA</v>
      </c>
    </row>
    <row r="247" spans="1:16" x14ac:dyDescent="0.25">
      <c r="A247">
        <v>2074369</v>
      </c>
      <c r="B247" t="s">
        <v>30</v>
      </c>
      <c r="C247" t="s">
        <v>273</v>
      </c>
      <c r="E247">
        <f t="shared" si="44"/>
        <v>16</v>
      </c>
      <c r="F247" t="str">
        <f t="shared" si="57"/>
        <v>2074369_chr16:2074390-2074391:T&gt;G</v>
      </c>
      <c r="G247" s="5" t="s">
        <v>1081</v>
      </c>
      <c r="H247" t="s">
        <v>758</v>
      </c>
      <c r="I247" t="s">
        <v>978</v>
      </c>
      <c r="J247" t="s">
        <v>979</v>
      </c>
      <c r="K247" t="str">
        <f t="shared" si="47"/>
        <v>AGAGACAGGAGCCTTCGGTGACTACTGCTGGAGTTCCTGTCCAGGGAGTCCCCGCCCTGCCTGCGCATGCACCCGAGAGGTTCGGGCTGTGTAACCTGTGCGGGCTTCTCTGGTGCCCTCTCTCAGGACTCCTTGAGGTAGGAGGATAGGCCAGG</v>
      </c>
      <c r="L247" t="str">
        <f t="shared" si="48"/>
        <v>CGGTG</v>
      </c>
      <c r="M247" t="str">
        <f t="shared" si="49"/>
        <v>ACTGC</v>
      </c>
      <c r="N247">
        <f t="shared" si="50"/>
        <v>155</v>
      </c>
      <c r="O247">
        <f t="shared" si="51"/>
        <v>3</v>
      </c>
      <c r="P247" t="str">
        <f t="shared" si="56"/>
        <v>AGAGACAGGAGCCTTCGGTGACTACTGCTGGAGTTCCTGTCCA</v>
      </c>
    </row>
    <row r="248" spans="1:16" x14ac:dyDescent="0.25">
      <c r="A248">
        <v>2074369</v>
      </c>
      <c r="B248" t="s">
        <v>30</v>
      </c>
      <c r="C248" t="s">
        <v>274</v>
      </c>
      <c r="E248">
        <f t="shared" si="44"/>
        <v>16</v>
      </c>
      <c r="F248" t="str">
        <f t="shared" si="57"/>
        <v>2074369_chr16:2074392-2074393:A&gt;G</v>
      </c>
      <c r="G248" s="1" t="s">
        <v>1024</v>
      </c>
      <c r="H248" t="s">
        <v>759</v>
      </c>
      <c r="I248" t="s">
        <v>978</v>
      </c>
      <c r="J248" t="s">
        <v>979</v>
      </c>
      <c r="K248" t="str">
        <f t="shared" si="47"/>
        <v>AGAGACAGGAGCCTTCGGTGACGACTGCTGGAGTTCCTGTCCAGTGGGTCCCCGCCCTGCCTGCGCATGCACCCGAGAGGTTCGGGCTGTGTAACCTGTGCGGGCTTCTCTGGTGCCCTCTCTCAGGACTCCTTGAGGTAGGAGGATAGGCCAGG</v>
      </c>
      <c r="L248" t="str">
        <f t="shared" si="48"/>
        <v>CGGTG</v>
      </c>
      <c r="M248" t="str">
        <f t="shared" si="49"/>
        <v>ACTGC</v>
      </c>
      <c r="N248">
        <f t="shared" si="50"/>
        <v>155</v>
      </c>
      <c r="O248">
        <f t="shared" si="51"/>
        <v>3</v>
      </c>
      <c r="P248" t="str">
        <f t="shared" si="56"/>
        <v>AGAGACAGGAGCCTTCGGTGACGACTGCTGGAGTTCCTGTCCA</v>
      </c>
    </row>
    <row r="249" spans="1:16" x14ac:dyDescent="0.25">
      <c r="A249">
        <v>2074369</v>
      </c>
      <c r="B249" t="s">
        <v>30</v>
      </c>
      <c r="C249" t="s">
        <v>275</v>
      </c>
      <c r="E249">
        <f t="shared" si="44"/>
        <v>16</v>
      </c>
      <c r="F249" t="str">
        <f t="shared" si="57"/>
        <v>2074369_chr16:2074393-2074394:G&gt;A</v>
      </c>
      <c r="G249" s="1" t="s">
        <v>1025</v>
      </c>
      <c r="H249" t="s">
        <v>760</v>
      </c>
      <c r="I249" t="s">
        <v>978</v>
      </c>
      <c r="J249" t="s">
        <v>979</v>
      </c>
      <c r="K249" t="str">
        <f t="shared" si="47"/>
        <v>AGAGACAGGAGCCTTCGGTGTCAACTGCTGGAGTTCCTGTCCAGTGAATCCCCGCCCTGCCTGCGCATGCACCCGAGAGGTTCGGGCTGTGTAACCTGTGCGGGCTTCTCTGGTGCCCTCTCTCAGGACTCCTTGAGGTAGGAGGATAGGCCAGG</v>
      </c>
      <c r="L249" t="str">
        <f t="shared" si="48"/>
        <v>CGGTG</v>
      </c>
      <c r="M249" t="str">
        <f t="shared" si="49"/>
        <v>ACTGC</v>
      </c>
      <c r="N249">
        <f t="shared" si="50"/>
        <v>155</v>
      </c>
      <c r="O249">
        <f t="shared" si="51"/>
        <v>3</v>
      </c>
      <c r="P249" t="str">
        <f t="shared" si="56"/>
        <v>AGAGACAGGAGCCTTCGGTGTCAACTGCTGGAGTTCCTGTCCA</v>
      </c>
    </row>
    <row r="250" spans="1:16" x14ac:dyDescent="0.25">
      <c r="A250">
        <v>2074369</v>
      </c>
      <c r="B250" t="s">
        <v>30</v>
      </c>
      <c r="C250" t="s">
        <v>276</v>
      </c>
      <c r="E250">
        <f t="shared" si="44"/>
        <v>16</v>
      </c>
      <c r="F250" t="str">
        <f t="shared" si="57"/>
        <v>2074369_chr16:2074393-2074394:G&gt;C</v>
      </c>
      <c r="G250" s="1" t="s">
        <v>1046</v>
      </c>
      <c r="H250" t="s">
        <v>761</v>
      </c>
      <c r="I250" t="s">
        <v>978</v>
      </c>
      <c r="J250" t="s">
        <v>981</v>
      </c>
      <c r="K250" t="str">
        <f t="shared" si="47"/>
        <v>AGAGACAGGAGCCTTCGGTGATCACTGCTGGAGTTCCTGTCCAGTGACTCCCCGCCCTGCCTGCGCATGCACCCGAGAGGTTCGGGCTGTGTAACCTGTGCGGGCTTCTCTGGTGCCCTCTCTCAGGACTCCTTGAGGTAGGAGGATAGGCCAGG</v>
      </c>
      <c r="L250" t="str">
        <f t="shared" si="48"/>
        <v>CGGTG</v>
      </c>
      <c r="M250" t="str">
        <f t="shared" si="49"/>
        <v>ACTGC</v>
      </c>
      <c r="N250">
        <f t="shared" si="50"/>
        <v>155</v>
      </c>
      <c r="O250">
        <f t="shared" si="51"/>
        <v>3</v>
      </c>
      <c r="P250" t="str">
        <f t="shared" si="56"/>
        <v>AGAGACAGGAGCCTTCGGTGATCACTGCTGGAGTTCCTGTCCA</v>
      </c>
    </row>
    <row r="251" spans="1:16" x14ac:dyDescent="0.25">
      <c r="A251">
        <v>2074369</v>
      </c>
      <c r="B251" t="s">
        <v>30</v>
      </c>
      <c r="C251" t="s">
        <v>277</v>
      </c>
      <c r="E251">
        <f t="shared" si="44"/>
        <v>16</v>
      </c>
      <c r="F251" t="str">
        <f t="shared" si="57"/>
        <v>2074369_chr16:2074394-2074395:T&gt;G</v>
      </c>
      <c r="G251" s="1" t="s">
        <v>1027</v>
      </c>
      <c r="H251" t="s">
        <v>762</v>
      </c>
      <c r="I251" t="s">
        <v>978</v>
      </c>
      <c r="J251" t="s">
        <v>979</v>
      </c>
      <c r="K251" t="str">
        <f t="shared" si="47"/>
        <v>AGAGACAGGAGCCTTCGGTGGTGACTGCTGGAGTTCCTGTCCAGTGAGGCCCCGCCCTGCCTGCGCATGCACCCGAGAGGTTCGGGCTGTGTAACCTGTGCGGGCTTCTCTGGTGCCCTCTCTCAGGACTCCTTGAGGTAGGAGGATAGGCCAGG</v>
      </c>
      <c r="L251" t="str">
        <f t="shared" si="48"/>
        <v>CGGTG</v>
      </c>
      <c r="M251" t="str">
        <f t="shared" si="49"/>
        <v>ACTGC</v>
      </c>
      <c r="N251">
        <f t="shared" si="50"/>
        <v>155</v>
      </c>
      <c r="O251">
        <f t="shared" si="51"/>
        <v>3</v>
      </c>
      <c r="P251" t="str">
        <f t="shared" si="56"/>
        <v>AGAGACAGGAGCCTTCGGTGGTGACTGCTGGAGTTCCTGTCCA</v>
      </c>
    </row>
    <row r="252" spans="1:16" x14ac:dyDescent="0.25">
      <c r="A252">
        <v>2074369</v>
      </c>
      <c r="B252" t="s">
        <v>30</v>
      </c>
      <c r="C252" t="s">
        <v>278</v>
      </c>
      <c r="E252">
        <f t="shared" si="44"/>
        <v>16</v>
      </c>
      <c r="F252" t="str">
        <f t="shared" si="57"/>
        <v>2074369_chr16:2074397-2074398:C&gt;G</v>
      </c>
      <c r="G252" s="1" t="s">
        <v>1028</v>
      </c>
      <c r="H252" t="s">
        <v>763</v>
      </c>
      <c r="I252" t="s">
        <v>978</v>
      </c>
      <c r="J252" t="s">
        <v>979</v>
      </c>
      <c r="K252" t="str">
        <f t="shared" si="47"/>
        <v>AGAGACAGGAGCCTTCGGTGCAGACTGCTGGAGTTCCTGTCCAGTGAGTCCGCGCCCTGCCTGCGCATGCACCCGAGAGGTTCGGGCTGTGTAACCTGTGCGGGCTTCTCTGGTGCCCTCTCTCAGGACTCCTTGAGGTAGGAGGATAGGCCAGG</v>
      </c>
      <c r="L252" t="str">
        <f t="shared" si="48"/>
        <v>CGGTG</v>
      </c>
      <c r="M252" t="str">
        <f t="shared" si="49"/>
        <v>ACTGC</v>
      </c>
      <c r="N252">
        <f t="shared" si="50"/>
        <v>155</v>
      </c>
      <c r="O252">
        <f t="shared" si="51"/>
        <v>3</v>
      </c>
      <c r="P252" t="str">
        <f t="shared" si="56"/>
        <v>AGAGACAGGAGCCTTCGGTGCAGACTGCTGGAGTTCCTGTCCA</v>
      </c>
    </row>
    <row r="253" spans="1:16" x14ac:dyDescent="0.25">
      <c r="A253">
        <v>2074369</v>
      </c>
      <c r="B253" t="s">
        <v>30</v>
      </c>
      <c r="C253" t="s">
        <v>279</v>
      </c>
      <c r="E253">
        <f t="shared" si="44"/>
        <v>16</v>
      </c>
      <c r="F253" t="str">
        <f t="shared" si="57"/>
        <v>2074369_chr16:2074397-2074398:C&gt;T</v>
      </c>
      <c r="G253" s="5" t="s">
        <v>1074</v>
      </c>
      <c r="H253" t="s">
        <v>764</v>
      </c>
      <c r="I253" t="s">
        <v>978</v>
      </c>
      <c r="J253" t="s">
        <v>979</v>
      </c>
      <c r="K253" t="str">
        <f t="shared" si="47"/>
        <v>AGAGACAGGAGCCTTCGGTGGCAACTGCTGGAGTTCCTGTCCAGTGAGTCCTCGCCCTGCCTGCGCATGCACCCGAGAGGTTCGGGCTGTGTAACCTGTGCGGGCTTCTCTGGTGCCCTCTCTCAGGACTCCTTGAGGTAGGAGGATAGGCCAGG</v>
      </c>
      <c r="L253" t="str">
        <f t="shared" si="48"/>
        <v>CGGTG</v>
      </c>
      <c r="M253" t="str">
        <f t="shared" si="49"/>
        <v>ACTGC</v>
      </c>
      <c r="N253">
        <f t="shared" si="50"/>
        <v>155</v>
      </c>
      <c r="O253">
        <f t="shared" si="51"/>
        <v>3</v>
      </c>
      <c r="P253" t="str">
        <f t="shared" si="56"/>
        <v>AGAGACAGGAGCCTTCGGTGGCAACTGCTGGAGTTCCTGTCCA</v>
      </c>
    </row>
    <row r="254" spans="1:16" x14ac:dyDescent="0.25">
      <c r="A254">
        <v>2074369</v>
      </c>
      <c r="B254" t="s">
        <v>30</v>
      </c>
      <c r="C254" t="s">
        <v>280</v>
      </c>
      <c r="E254">
        <f t="shared" si="44"/>
        <v>16</v>
      </c>
      <c r="F254" t="str">
        <f t="shared" si="57"/>
        <v>2074369_chr16:2074398-2074399:C&gt;T</v>
      </c>
      <c r="G254" s="1" t="s">
        <v>1030</v>
      </c>
      <c r="H254" t="s">
        <v>765</v>
      </c>
      <c r="I254" t="s">
        <v>978</v>
      </c>
      <c r="J254" t="s">
        <v>979</v>
      </c>
      <c r="K254" t="str">
        <f t="shared" si="47"/>
        <v>AGAGACAGGAGCCTTCGGTGAGAACTGCTGGAGTTCCTGTCCAGTGAGTCCCTGCCCTGCCTGCGCATGCACCCGAGAGGTTCGGGCTGTGTAACCTGTGCGGGCTTCTCTGGTGCCCTCTCTCAGGACTCCTTGAGGTAGGAGGATAGGCCAGG</v>
      </c>
      <c r="L254" t="str">
        <f t="shared" si="48"/>
        <v>CGGTG</v>
      </c>
      <c r="M254" t="str">
        <f t="shared" si="49"/>
        <v>ACTGC</v>
      </c>
      <c r="N254">
        <f t="shared" si="50"/>
        <v>155</v>
      </c>
      <c r="O254">
        <f t="shared" si="51"/>
        <v>3</v>
      </c>
      <c r="P254" t="str">
        <f t="shared" si="56"/>
        <v>AGAGACAGGAGCCTTCGGTGAGAACTGCTGGAGTTCCTGTCCA</v>
      </c>
    </row>
    <row r="255" spans="1:16" x14ac:dyDescent="0.25">
      <c r="A255">
        <v>2074369</v>
      </c>
      <c r="B255" t="s">
        <v>30</v>
      </c>
      <c r="C255" t="s">
        <v>281</v>
      </c>
      <c r="E255">
        <f t="shared" si="44"/>
        <v>16</v>
      </c>
      <c r="F255" t="str">
        <f t="shared" si="57"/>
        <v>2074369_chr16:2074406-2074407:C&gt;T</v>
      </c>
      <c r="G255" s="1" t="s">
        <v>1031</v>
      </c>
      <c r="H255" t="s">
        <v>766</v>
      </c>
      <c r="I255" t="s">
        <v>978</v>
      </c>
      <c r="J255" t="s">
        <v>979</v>
      </c>
      <c r="K255" t="str">
        <f t="shared" si="47"/>
        <v>AGAGACAGGAGCCTTCGGTGATGACTGCTGGAGTTCCTGTCCAGTGAGTCCCCGCCCTGCTTGCGCATGCACCCGAGAGGTTCGGGCTGTGTAACCTGTGCGGGCTTCTCTGGTGCCCTCTCTCAGGACTCCTTGAGGTAGGAGGATAGGCCAGG</v>
      </c>
      <c r="L255" t="str">
        <f t="shared" si="48"/>
        <v>CGGTG</v>
      </c>
      <c r="M255" t="str">
        <f t="shared" si="49"/>
        <v>ACTGC</v>
      </c>
      <c r="N255">
        <f t="shared" si="50"/>
        <v>155</v>
      </c>
      <c r="O255">
        <f t="shared" si="51"/>
        <v>3</v>
      </c>
      <c r="P255" t="str">
        <f t="shared" si="56"/>
        <v>AGAGACAGGAGCCTTCGGTGATGACTGCTGGAGTTCCTGTCCA</v>
      </c>
    </row>
    <row r="256" spans="1:16" x14ac:dyDescent="0.25">
      <c r="A256">
        <v>2074369</v>
      </c>
      <c r="B256" t="s">
        <v>30</v>
      </c>
      <c r="C256" t="s">
        <v>282</v>
      </c>
      <c r="E256">
        <f t="shared" si="44"/>
        <v>16</v>
      </c>
      <c r="F256" t="str">
        <f t="shared" si="57"/>
        <v>2074369_chr16:2074411-2074412:C&gt;T</v>
      </c>
      <c r="G256" s="1" t="s">
        <v>1032</v>
      </c>
      <c r="H256" t="s">
        <v>767</v>
      </c>
      <c r="I256" t="s">
        <v>978</v>
      </c>
      <c r="J256" t="s">
        <v>979</v>
      </c>
      <c r="K256" t="str">
        <f t="shared" si="47"/>
        <v>AGAGACAGGAGCCTTCGGTGCACACTGCTGGAGTTCCTGTCCAGTGAGTCCCCGCCCTGCCTGCGTATGCACCCGAGAGGTTCGGGCTGTGTAACCTGTGCGGGCTTCTCTGGTGCCCTCTCTCAGGACTCCTTGAGGTAGGAGGATAGGCCAGG</v>
      </c>
      <c r="L256" t="str">
        <f t="shared" si="48"/>
        <v>CGGTG</v>
      </c>
      <c r="M256" t="str">
        <f t="shared" si="49"/>
        <v>ACTGC</v>
      </c>
      <c r="N256">
        <f t="shared" si="50"/>
        <v>155</v>
      </c>
      <c r="O256">
        <f t="shared" si="51"/>
        <v>3</v>
      </c>
      <c r="P256" t="str">
        <f t="shared" si="56"/>
        <v>AGAGACAGGAGCCTTCGGTGCACACTGCTGGAGTTCCTGTCCA</v>
      </c>
    </row>
    <row r="257" spans="1:16" x14ac:dyDescent="0.25">
      <c r="A257">
        <v>2074369</v>
      </c>
      <c r="B257" t="s">
        <v>30</v>
      </c>
      <c r="C257" t="s">
        <v>283</v>
      </c>
      <c r="E257">
        <f t="shared" si="44"/>
        <v>16</v>
      </c>
      <c r="F257" t="str">
        <f t="shared" si="57"/>
        <v>2074369_chr16:2074414-2074415:G&gt;A</v>
      </c>
      <c r="G257" s="1" t="s">
        <v>1033</v>
      </c>
      <c r="H257" t="s">
        <v>768</v>
      </c>
      <c r="I257" t="s">
        <v>978</v>
      </c>
      <c r="J257" t="s">
        <v>979</v>
      </c>
      <c r="K257" t="str">
        <f t="shared" si="47"/>
        <v>AGAGACAGGAGCCTTCGGTGTAGACTGCTGGAGTTCCTGTCCAGTGAGTCCCCGCCCTGCCTGCGCATACACCCGAGAGGTTCGGGCTGTGTAACCTGTGCGGGCTTCTCTGGTGCCCTCTCTCAGGACTCCTTGAGGTAGGAGGATAGGCCAGG</v>
      </c>
      <c r="L257" t="str">
        <f t="shared" si="48"/>
        <v>CGGTG</v>
      </c>
      <c r="M257" t="str">
        <f t="shared" si="49"/>
        <v>ACTGC</v>
      </c>
      <c r="N257">
        <f t="shared" si="50"/>
        <v>155</v>
      </c>
      <c r="O257">
        <f t="shared" si="51"/>
        <v>3</v>
      </c>
      <c r="P257" t="str">
        <f t="shared" si="56"/>
        <v>AGAGACAGGAGCCTTCGGTGTAGACTGCTGGAGTTCCTGTCCA</v>
      </c>
    </row>
    <row r="258" spans="1:16" x14ac:dyDescent="0.25">
      <c r="A258">
        <v>2074369</v>
      </c>
      <c r="B258" t="s">
        <v>30</v>
      </c>
      <c r="C258" t="s">
        <v>284</v>
      </c>
      <c r="E258">
        <f t="shared" ref="E258:E321" si="58">COUNTIF(A:A,A258)</f>
        <v>16</v>
      </c>
      <c r="F258" t="str">
        <f t="shared" si="57"/>
        <v>2074369_chr16:2074419-2074420:C&gt;T</v>
      </c>
      <c r="G258" s="1" t="s">
        <v>1034</v>
      </c>
      <c r="H258" t="s">
        <v>769</v>
      </c>
      <c r="I258" t="s">
        <v>978</v>
      </c>
      <c r="J258" t="s">
        <v>979</v>
      </c>
      <c r="K258" t="str">
        <f t="shared" ref="K258:K321" si="59">(I258&amp;G258&amp;H258&amp;J258)</f>
        <v>AGAGACAGGAGCCTTCGGTGGTCACTGCTGGAGTTCCTGTCCAGTGAGTCCCCGCCCTGCCTGCGCATGCACCTGAGAGGTTCGGGCTGTGTAACCTGTGCGGGCTTCTCTGGTGCCCTCTCTCAGGACTCCTTGAGGTAGGAGGATAGGCCAGG</v>
      </c>
      <c r="L258" t="str">
        <f t="shared" ref="L258:L321" si="60">RIGHT(I258,5)</f>
        <v>CGGTG</v>
      </c>
      <c r="M258" t="str">
        <f t="shared" ref="M258:M321" si="61">LEFT(H258,5)</f>
        <v>ACTGC</v>
      </c>
      <c r="N258">
        <f t="shared" ref="N258:N321" si="62">LEN(K258)</f>
        <v>155</v>
      </c>
      <c r="O258">
        <f t="shared" si="51"/>
        <v>3</v>
      </c>
      <c r="P258" t="str">
        <f t="shared" si="56"/>
        <v>AGAGACAGGAGCCTTCGGTGGTCACTGCTGGAGTTCCTGTCCA</v>
      </c>
    </row>
    <row r="259" spans="1:16" x14ac:dyDescent="0.25">
      <c r="A259">
        <v>2074369</v>
      </c>
      <c r="B259" t="s">
        <v>30</v>
      </c>
      <c r="C259" t="s">
        <v>285</v>
      </c>
      <c r="E259">
        <f t="shared" si="58"/>
        <v>16</v>
      </c>
      <c r="F259" t="str">
        <f t="shared" si="57"/>
        <v>2074369_chr16:2074433-2074434:T&gt;A</v>
      </c>
      <c r="G259" s="1" t="s">
        <v>1035</v>
      </c>
      <c r="H259" t="s">
        <v>770</v>
      </c>
      <c r="I259" t="s">
        <v>978</v>
      </c>
      <c r="J259" t="s">
        <v>979</v>
      </c>
      <c r="K259" t="str">
        <f t="shared" si="59"/>
        <v>AGAGACAGGAGCCTTCGGTGTACACTGCTGGAGTTCCTGTCCAGTGAGTCCCCGCCCTGCCTGCGCATGCACCCGAGAGGTTCGGGCAGTGTAACCTGTGCGGGCTTCTCTGGTGCCCTCTCTCAGGACTCCTTGAGGTAGGAGGATAGGCCAGG</v>
      </c>
      <c r="L259" t="str">
        <f t="shared" si="60"/>
        <v>CGGTG</v>
      </c>
      <c r="M259" t="str">
        <f t="shared" si="61"/>
        <v>ACTGC</v>
      </c>
      <c r="N259">
        <f t="shared" si="62"/>
        <v>155</v>
      </c>
      <c r="O259">
        <f t="shared" ref="O259:O322" si="63">LEN(G259)</f>
        <v>3</v>
      </c>
      <c r="P259" t="str">
        <f t="shared" si="56"/>
        <v>AGAGACAGGAGCCTTCGGTGTACACTGCTGGAGTTCCTGTCCA</v>
      </c>
    </row>
    <row r="260" spans="1:16" x14ac:dyDescent="0.25">
      <c r="A260">
        <v>2075872</v>
      </c>
      <c r="B260" t="s">
        <v>31</v>
      </c>
      <c r="C260" t="s">
        <v>286</v>
      </c>
      <c r="D260" t="s">
        <v>534</v>
      </c>
      <c r="E260">
        <f t="shared" si="58"/>
        <v>15</v>
      </c>
      <c r="F260" t="str">
        <f>(A260&amp;"_"&amp;D260)</f>
        <v>2075872_wt</v>
      </c>
      <c r="G260" s="6" t="s">
        <v>993</v>
      </c>
      <c r="H260" t="s">
        <v>515</v>
      </c>
      <c r="I260" t="s">
        <v>978</v>
      </c>
      <c r="J260" t="s">
        <v>979</v>
      </c>
      <c r="K260" t="str">
        <f t="shared" si="59"/>
        <v>AGAGACAGGAGCCTTCGGTGCATCCGTACACCAACCCCTCCAAGTGAGTGGTCGCCCCAGGCCCTGTGCCTCCCAGCCGTGGCCCCCGCTAGGCCTTGCGGCAGAAAGCCCCGGCAGCCTTTGTCCCCAAGGCCTAGGTAGGAGGATAGGCCAGG</v>
      </c>
      <c r="L260" t="str">
        <f t="shared" si="60"/>
        <v>CGGTG</v>
      </c>
      <c r="M260" t="str">
        <f t="shared" si="61"/>
        <v>CCGTA</v>
      </c>
      <c r="N260">
        <f t="shared" si="62"/>
        <v>155</v>
      </c>
      <c r="O260">
        <f t="shared" si="63"/>
        <v>3</v>
      </c>
      <c r="P260" t="str">
        <f t="shared" si="56"/>
        <v>AGAGACAGGAGCCTTCGGTGCATCCGTACACCAACCCCTCCAA</v>
      </c>
    </row>
    <row r="261" spans="1:16" x14ac:dyDescent="0.25">
      <c r="A261">
        <v>2075872</v>
      </c>
      <c r="B261" t="s">
        <v>31</v>
      </c>
      <c r="C261" t="s">
        <v>286</v>
      </c>
      <c r="E261">
        <f t="shared" si="58"/>
        <v>15</v>
      </c>
      <c r="F261" t="str">
        <f t="shared" ref="F261:F274" si="64">(A261&amp;"_"&amp;C261)</f>
        <v>2075872_chr16:2075892-2075893:G&gt;A</v>
      </c>
      <c r="G261" s="6" t="s">
        <v>997</v>
      </c>
      <c r="H261" t="s">
        <v>771</v>
      </c>
      <c r="I261" t="s">
        <v>978</v>
      </c>
      <c r="J261" t="s">
        <v>981</v>
      </c>
      <c r="K261" t="str">
        <f t="shared" si="59"/>
        <v>AGAGACAGGAGCCTTCGGTGTGACCGTACACCAACCCCTCCAAATGAGTGGTCGCCCCAGGCCCTGTGCCTCCCAGCCGTGGCCCCCGCTAGGCCTTGCGGCAGAAAGCCCCGGCAGCCTTTGTCCCCAAGGCCTAGGTAGGAGGATAGGCCAGG</v>
      </c>
      <c r="L261" t="str">
        <f t="shared" si="60"/>
        <v>CGGTG</v>
      </c>
      <c r="M261" t="str">
        <f t="shared" si="61"/>
        <v>CCGTA</v>
      </c>
      <c r="N261">
        <f t="shared" si="62"/>
        <v>155</v>
      </c>
      <c r="O261">
        <f t="shared" si="63"/>
        <v>3</v>
      </c>
      <c r="P261" t="str">
        <f t="shared" si="56"/>
        <v>AGAGACAGGAGCCTTCGGTGTGACCGTACACCAACCCCTCCAA</v>
      </c>
    </row>
    <row r="262" spans="1:16" x14ac:dyDescent="0.25">
      <c r="A262">
        <v>2075872</v>
      </c>
      <c r="B262" t="s">
        <v>31</v>
      </c>
      <c r="C262" t="s">
        <v>287</v>
      </c>
      <c r="E262">
        <f t="shared" si="58"/>
        <v>15</v>
      </c>
      <c r="F262" t="str">
        <f t="shared" si="64"/>
        <v>2075872_chr16:2075892-2075893:G&gt;C</v>
      </c>
      <c r="G262" s="6" t="s">
        <v>994</v>
      </c>
      <c r="H262" t="s">
        <v>772</v>
      </c>
      <c r="I262" t="s">
        <v>978</v>
      </c>
      <c r="J262" t="s">
        <v>979</v>
      </c>
      <c r="K262" t="str">
        <f t="shared" si="59"/>
        <v>AGAGACAGGAGCCTTCGGTGGAGCCGTACACCAACCCCTCCAACTGAGTGGTCGCCCCAGGCCCTGTGCCTCCCAGCCGTGGCCCCCGCTAGGCCTTGCGGCAGAAAGCCCCGGCAGCCTTTGTCCCCAAGGCCTAGGTAGGAGGATAGGCCAGG</v>
      </c>
      <c r="L262" t="str">
        <f t="shared" si="60"/>
        <v>CGGTG</v>
      </c>
      <c r="M262" t="str">
        <f t="shared" si="61"/>
        <v>CCGTA</v>
      </c>
      <c r="N262">
        <f t="shared" si="62"/>
        <v>155</v>
      </c>
      <c r="O262">
        <f t="shared" si="63"/>
        <v>3</v>
      </c>
      <c r="P262" t="str">
        <f t="shared" si="56"/>
        <v>AGAGACAGGAGCCTTCGGTGGAGCCGTACACCAACCCCTCCAA</v>
      </c>
    </row>
    <row r="263" spans="1:16" x14ac:dyDescent="0.25">
      <c r="A263">
        <v>2075872</v>
      </c>
      <c r="B263" t="s">
        <v>31</v>
      </c>
      <c r="C263" t="s">
        <v>288</v>
      </c>
      <c r="E263">
        <f t="shared" si="58"/>
        <v>15</v>
      </c>
      <c r="F263" t="str">
        <f t="shared" si="64"/>
        <v>2075872_chr16:2075892-2075893:G&gt;T</v>
      </c>
      <c r="G263" s="6" t="s">
        <v>1001</v>
      </c>
      <c r="H263" t="s">
        <v>773</v>
      </c>
      <c r="I263" t="s">
        <v>978</v>
      </c>
      <c r="J263" t="s">
        <v>979</v>
      </c>
      <c r="K263" t="str">
        <f t="shared" si="59"/>
        <v>AGAGACAGGAGCCTTCGGTGCGTCCGTACACCAACCCCTCCAATTGAGTGGTCGCCCCAGGCCCTGTGCCTCCCAGCCGTGGCCCCCGCTAGGCCTTGCGGCAGAAAGCCCCGGCAGCCTTTGTCCCCAAGGCCTAGGTAGGAGGATAGGCCAGG</v>
      </c>
      <c r="L263" t="str">
        <f t="shared" si="60"/>
        <v>CGGTG</v>
      </c>
      <c r="M263" t="str">
        <f t="shared" si="61"/>
        <v>CCGTA</v>
      </c>
      <c r="N263">
        <f t="shared" si="62"/>
        <v>155</v>
      </c>
      <c r="O263">
        <f t="shared" si="63"/>
        <v>3</v>
      </c>
      <c r="P263" t="str">
        <f t="shared" si="56"/>
        <v>AGAGACAGGAGCCTTCGGTGCGTCCGTACACCAACCCCTCCAA</v>
      </c>
    </row>
    <row r="264" spans="1:16" x14ac:dyDescent="0.25">
      <c r="A264">
        <v>2075872</v>
      </c>
      <c r="B264" t="s">
        <v>31</v>
      </c>
      <c r="C264" t="s">
        <v>289</v>
      </c>
      <c r="E264">
        <f t="shared" si="58"/>
        <v>15</v>
      </c>
      <c r="F264" t="str">
        <f t="shared" si="64"/>
        <v>2075872_chr16:2075893-2075893:-&gt;G</v>
      </c>
      <c r="G264" s="6" t="s">
        <v>1004</v>
      </c>
      <c r="H264" t="s">
        <v>774</v>
      </c>
      <c r="I264" t="s">
        <v>978</v>
      </c>
      <c r="J264" t="s">
        <v>979</v>
      </c>
      <c r="K264" t="str">
        <f t="shared" si="59"/>
        <v>AGAGACAGGAGCCTTCGGTGTCGCCGTACACCAACCCCTCCAAGGTGAGTGGTCGCCCCAGGCCCTGTGCCTCCCAGCCGTGGCCCCCGCTAGGCCTTGCGGCAGAAAGCCCCGGCAGCCTTTGTCCCCAAGGCCTAGGTAGGAGGATAGGCCAGG</v>
      </c>
      <c r="L264" t="str">
        <f t="shared" si="60"/>
        <v>CGGTG</v>
      </c>
      <c r="M264" t="str">
        <f t="shared" si="61"/>
        <v>CCGTA</v>
      </c>
      <c r="N264">
        <f t="shared" si="62"/>
        <v>156</v>
      </c>
      <c r="O264">
        <f t="shared" si="63"/>
        <v>3</v>
      </c>
      <c r="P264" t="str">
        <f t="shared" si="56"/>
        <v>AGAGACAGGAGCCTTCGGTGTCGCCGTACACCAACCCCTCCAA</v>
      </c>
    </row>
    <row r="265" spans="1:16" x14ac:dyDescent="0.25">
      <c r="A265">
        <v>2075872</v>
      </c>
      <c r="B265" t="s">
        <v>31</v>
      </c>
      <c r="C265" t="s">
        <v>290</v>
      </c>
      <c r="E265">
        <f t="shared" si="58"/>
        <v>15</v>
      </c>
      <c r="F265" t="str">
        <f t="shared" si="64"/>
        <v>2075872_chr16:2075893-2075894:T&gt;C</v>
      </c>
      <c r="G265" s="6" t="s">
        <v>995</v>
      </c>
      <c r="H265" t="s">
        <v>775</v>
      </c>
      <c r="I265" t="s">
        <v>978</v>
      </c>
      <c r="J265" t="s">
        <v>979</v>
      </c>
      <c r="K265" t="str">
        <f t="shared" si="59"/>
        <v>AGAGACAGGAGCCTTCGGTGTATCCGTACACCAACCCCTCCAAGCGAGTGGTCGCCCCAGGCCCTGTGCCTCCCAGCCGTGGCCCCCGCTAGGCCTTGCGGCAGAAAGCCCCGGCAGCCTTTGTCCCCAAGGCCTAGGTAGGAGGATAGGCCAGG</v>
      </c>
      <c r="L265" t="str">
        <f t="shared" si="60"/>
        <v>CGGTG</v>
      </c>
      <c r="M265" t="str">
        <f t="shared" si="61"/>
        <v>CCGTA</v>
      </c>
      <c r="N265">
        <f t="shared" si="62"/>
        <v>155</v>
      </c>
      <c r="O265">
        <f t="shared" si="63"/>
        <v>3</v>
      </c>
      <c r="P265" t="str">
        <f t="shared" si="56"/>
        <v>AGAGACAGGAGCCTTCGGTGTATCCGTACACCAACCCCTCCAA</v>
      </c>
    </row>
    <row r="266" spans="1:16" x14ac:dyDescent="0.25">
      <c r="A266">
        <v>2075872</v>
      </c>
      <c r="B266" t="s">
        <v>31</v>
      </c>
      <c r="C266" t="s">
        <v>291</v>
      </c>
      <c r="E266">
        <f t="shared" si="58"/>
        <v>15</v>
      </c>
      <c r="F266" t="str">
        <f t="shared" si="64"/>
        <v>2075872_chr16:2075896-2075897:G&gt;A</v>
      </c>
      <c r="G266" s="6" t="s">
        <v>996</v>
      </c>
      <c r="H266" t="s">
        <v>776</v>
      </c>
      <c r="I266" t="s">
        <v>978</v>
      </c>
      <c r="J266" t="s">
        <v>979</v>
      </c>
      <c r="K266" t="str">
        <f t="shared" si="59"/>
        <v>AGAGACAGGAGCCTTCGGTGAGTCCGTACACCAACCCCTCCAAGTGAATGGTCGCCCCAGGCCCTGTGCCTCCCAGCCGTGGCCCCCGCTAGGCCTTGCGGCAGAAAGCCCCGGCAGCCTTTGTCCCCAAGGCCTAGGTAGGAGGATAGGCCAGG</v>
      </c>
      <c r="L266" t="str">
        <f t="shared" si="60"/>
        <v>CGGTG</v>
      </c>
      <c r="M266" t="str">
        <f t="shared" si="61"/>
        <v>CCGTA</v>
      </c>
      <c r="N266">
        <f t="shared" si="62"/>
        <v>155</v>
      </c>
      <c r="O266">
        <f t="shared" si="63"/>
        <v>3</v>
      </c>
      <c r="P266" t="str">
        <f t="shared" si="56"/>
        <v>AGAGACAGGAGCCTTCGGTGAGTCCGTACACCAACCCCTCCAA</v>
      </c>
    </row>
    <row r="267" spans="1:16" x14ac:dyDescent="0.25">
      <c r="A267">
        <v>2075872</v>
      </c>
      <c r="B267" t="s">
        <v>31</v>
      </c>
      <c r="C267" t="s">
        <v>292</v>
      </c>
      <c r="E267">
        <f t="shared" si="58"/>
        <v>15</v>
      </c>
      <c r="F267" t="str">
        <f t="shared" si="64"/>
        <v>2075872_chr16:2075901-2075902:C&gt;T</v>
      </c>
      <c r="G267" s="6" t="s">
        <v>998</v>
      </c>
      <c r="H267" t="s">
        <v>777</v>
      </c>
      <c r="I267" t="s">
        <v>978</v>
      </c>
      <c r="J267" t="s">
        <v>979</v>
      </c>
      <c r="K267" t="str">
        <f t="shared" si="59"/>
        <v>AGAGACAGGAGCCTTCGGTGGTACCGTACACCAACCCCTCCAAGTGAGTGGTTGCCCCAGGCCCTGTGCCTCCCAGCCGTGGCCCCCGCTAGGCCTTGCGGCAGAAAGCCCCGGCAGCCTTTGTCCCCAAGGCCTAGGTAGGAGGATAGGCCAGG</v>
      </c>
      <c r="L267" t="str">
        <f t="shared" si="60"/>
        <v>CGGTG</v>
      </c>
      <c r="M267" t="str">
        <f t="shared" si="61"/>
        <v>CCGTA</v>
      </c>
      <c r="N267">
        <f t="shared" si="62"/>
        <v>155</v>
      </c>
      <c r="O267">
        <f t="shared" si="63"/>
        <v>3</v>
      </c>
      <c r="P267" t="str">
        <f t="shared" si="56"/>
        <v>AGAGACAGGAGCCTTCGGTGGTACCGTACACCAACCCCTCCAA</v>
      </c>
    </row>
    <row r="268" spans="1:16" x14ac:dyDescent="0.25">
      <c r="A268">
        <v>2075872</v>
      </c>
      <c r="B268" t="s">
        <v>31</v>
      </c>
      <c r="C268" t="s">
        <v>293</v>
      </c>
      <c r="E268">
        <f t="shared" si="58"/>
        <v>15</v>
      </c>
      <c r="F268" t="str">
        <f t="shared" si="64"/>
        <v>2075872_chr16:2075902-2075903:G&gt;A</v>
      </c>
      <c r="G268" s="6" t="s">
        <v>999</v>
      </c>
      <c r="H268" t="s">
        <v>778</v>
      </c>
      <c r="I268" t="s">
        <v>978</v>
      </c>
      <c r="J268" t="s">
        <v>979</v>
      </c>
      <c r="K268" t="str">
        <f t="shared" si="59"/>
        <v>AGAGACAGGAGCCTTCGGTGATACCGTACACCAACCCCTCCAAGTGAGTGGTCACCCCAGGCCCTGTGCCTCCCAGCCGTGGCCCCCGCTAGGCCTTGCGGCAGAAAGCCCCGGCAGCCTTTGTCCCCAAGGCCTAGGTAGGAGGATAGGCCAGG</v>
      </c>
      <c r="L268" t="str">
        <f t="shared" si="60"/>
        <v>CGGTG</v>
      </c>
      <c r="M268" t="str">
        <f t="shared" si="61"/>
        <v>CCGTA</v>
      </c>
      <c r="N268">
        <f t="shared" si="62"/>
        <v>155</v>
      </c>
      <c r="O268">
        <f t="shared" si="63"/>
        <v>3</v>
      </c>
      <c r="P268" t="str">
        <f t="shared" si="56"/>
        <v>AGAGACAGGAGCCTTCGGTGATACCGTACACCAACCCCTCCAA</v>
      </c>
    </row>
    <row r="269" spans="1:16" x14ac:dyDescent="0.25">
      <c r="A269">
        <v>2075872</v>
      </c>
      <c r="B269" t="s">
        <v>31</v>
      </c>
      <c r="C269" t="s">
        <v>294</v>
      </c>
      <c r="E269">
        <f t="shared" si="58"/>
        <v>15</v>
      </c>
      <c r="F269" t="str">
        <f t="shared" si="64"/>
        <v>2075872_chr16:2075905-2075906:C&gt;G</v>
      </c>
      <c r="G269" s="6" t="s">
        <v>1000</v>
      </c>
      <c r="H269" t="s">
        <v>779</v>
      </c>
      <c r="I269" t="s">
        <v>978</v>
      </c>
      <c r="J269" t="s">
        <v>979</v>
      </c>
      <c r="K269" t="str">
        <f t="shared" si="59"/>
        <v>AGAGACAGGAGCCTTCGGTGAGCCCGTACACCAACCCCTCCAAGTGAGTGGTCGCCGCAGGCCCTGTGCCTCCCAGCCGTGGCCCCCGCTAGGCCTTGCGGCAGAAAGCCCCGGCAGCCTTTGTCCCCAAGGCCTAGGTAGGAGGATAGGCCAGG</v>
      </c>
      <c r="L269" t="str">
        <f t="shared" si="60"/>
        <v>CGGTG</v>
      </c>
      <c r="M269" t="str">
        <f t="shared" si="61"/>
        <v>CCGTA</v>
      </c>
      <c r="N269">
        <f t="shared" si="62"/>
        <v>155</v>
      </c>
      <c r="O269">
        <f t="shared" si="63"/>
        <v>3</v>
      </c>
      <c r="P269" t="str">
        <f t="shared" si="56"/>
        <v>AGAGACAGGAGCCTTCGGTGAGCCCGTACACCAACCCCTCCAA</v>
      </c>
    </row>
    <row r="270" spans="1:16" x14ac:dyDescent="0.25">
      <c r="A270">
        <v>2075872</v>
      </c>
      <c r="B270" t="s">
        <v>31</v>
      </c>
      <c r="C270" t="s">
        <v>295</v>
      </c>
      <c r="E270">
        <f t="shared" si="58"/>
        <v>15</v>
      </c>
      <c r="F270" t="str">
        <f t="shared" si="64"/>
        <v>2075872_chr16:2075906-2075907:C&gt;T</v>
      </c>
      <c r="G270" s="4" t="s">
        <v>1082</v>
      </c>
      <c r="H270" t="s">
        <v>780</v>
      </c>
      <c r="I270" t="s">
        <v>978</v>
      </c>
      <c r="J270" t="s">
        <v>979</v>
      </c>
      <c r="K270" t="str">
        <f t="shared" si="59"/>
        <v>AGAGACAGGAGCCTTCGGTGGATCCGTACACCAACCCCTCCAAGTGAGTGGTCGCCCTAGGCCCTGTGCCTCCCAGCCGTGGCCCCCGCTAGGCCTTGCGGCAGAAAGCCCCGGCAGCCTTTGTCCCCAAGGCCTAGGTAGGAGGATAGGCCAGG</v>
      </c>
      <c r="L270" t="str">
        <f t="shared" si="60"/>
        <v>CGGTG</v>
      </c>
      <c r="M270" t="str">
        <f t="shared" si="61"/>
        <v>CCGTA</v>
      </c>
      <c r="N270">
        <f t="shared" si="62"/>
        <v>155</v>
      </c>
      <c r="O270">
        <f t="shared" si="63"/>
        <v>3</v>
      </c>
      <c r="P270" t="str">
        <f t="shared" si="56"/>
        <v>AGAGACAGGAGCCTTCGGTGGATCCGTACACCAACCCCTCCAA</v>
      </c>
    </row>
    <row r="271" spans="1:16" x14ac:dyDescent="0.25">
      <c r="A271">
        <v>2075872</v>
      </c>
      <c r="B271" t="s">
        <v>31</v>
      </c>
      <c r="C271" t="s">
        <v>296</v>
      </c>
      <c r="E271">
        <f t="shared" si="58"/>
        <v>15</v>
      </c>
      <c r="F271" t="str">
        <f t="shared" si="64"/>
        <v>2075872_chr16:2075933-2075934:C&gt;T</v>
      </c>
      <c r="G271" s="6" t="s">
        <v>1005</v>
      </c>
      <c r="H271" t="s">
        <v>781</v>
      </c>
      <c r="I271" t="s">
        <v>978</v>
      </c>
      <c r="J271" t="s">
        <v>979</v>
      </c>
      <c r="K271" t="str">
        <f t="shared" si="59"/>
        <v>AGAGACAGGAGCCTTCGGTGACTCCGTACACCAACCCCTCCAAGTGAGTGGTCGCCCCAGGCCCTGTGCCTCCCAGCCGTGGCCTCCGCTAGGCCTTGCGGCAGAAAGCCCCGGCAGCCTTTGTCCCCAAGGCCTAGGTAGGAGGATAGGCCAGG</v>
      </c>
      <c r="L271" t="str">
        <f t="shared" si="60"/>
        <v>CGGTG</v>
      </c>
      <c r="M271" t="str">
        <f t="shared" si="61"/>
        <v>CCGTA</v>
      </c>
      <c r="N271">
        <f t="shared" si="62"/>
        <v>155</v>
      </c>
      <c r="O271">
        <f t="shared" si="63"/>
        <v>3</v>
      </c>
      <c r="P271" t="str">
        <f t="shared" si="56"/>
        <v>AGAGACAGGAGCCTTCGGTGACTCCGTACACCAACCCCTCCAA</v>
      </c>
    </row>
    <row r="272" spans="1:16" x14ac:dyDescent="0.25">
      <c r="A272">
        <v>2075872</v>
      </c>
      <c r="B272" t="s">
        <v>31</v>
      </c>
      <c r="C272" t="s">
        <v>297</v>
      </c>
      <c r="E272">
        <f t="shared" si="58"/>
        <v>15</v>
      </c>
      <c r="F272" t="str">
        <f t="shared" si="64"/>
        <v>2075872_chr16:2075935-2075936:C&gt;G</v>
      </c>
      <c r="G272" s="6" t="s">
        <v>1003</v>
      </c>
      <c r="H272" t="s">
        <v>782</v>
      </c>
      <c r="I272" t="s">
        <v>978</v>
      </c>
      <c r="J272" t="s">
        <v>979</v>
      </c>
      <c r="K272" t="str">
        <f t="shared" si="59"/>
        <v>AGAGACAGGAGCCTTCGGTGGCACCGTACACCAACCCCTCCAAGTGAGTGGTCGCCCCAGGCCCTGTGCCTCCCAGCCGTGGCCCCGGCTAGGCCTTGCGGCAGAAAGCCCCGGCAGCCTTTGTCCCCAAGGCCTAGGTAGGAGGATAGGCCAGG</v>
      </c>
      <c r="L272" t="str">
        <f t="shared" si="60"/>
        <v>CGGTG</v>
      </c>
      <c r="M272" t="str">
        <f t="shared" si="61"/>
        <v>CCGTA</v>
      </c>
      <c r="N272">
        <f t="shared" si="62"/>
        <v>155</v>
      </c>
      <c r="O272">
        <f t="shared" si="63"/>
        <v>3</v>
      </c>
      <c r="P272" t="str">
        <f t="shared" si="56"/>
        <v>AGAGACAGGAGCCTTCGGTGGCACCGTACACCAACCCCTCCAA</v>
      </c>
    </row>
    <row r="273" spans="1:16" x14ac:dyDescent="0.25">
      <c r="A273">
        <v>2075872</v>
      </c>
      <c r="B273" t="s">
        <v>31</v>
      </c>
      <c r="C273" t="s">
        <v>298</v>
      </c>
      <c r="E273">
        <f t="shared" si="58"/>
        <v>15</v>
      </c>
      <c r="F273" t="str">
        <f t="shared" si="64"/>
        <v>2075872_chr16:2075946-2075947:G&gt;C</v>
      </c>
      <c r="G273" s="6" t="s">
        <v>1006</v>
      </c>
      <c r="H273" t="s">
        <v>783</v>
      </c>
      <c r="I273" t="s">
        <v>978</v>
      </c>
      <c r="J273" t="s">
        <v>979</v>
      </c>
      <c r="K273" t="str">
        <f t="shared" si="59"/>
        <v>AGAGACAGGAGCCTTCGGTGCGACCGTACACCAACCCCTCCAAGTGAGTGGTCGCCCCAGGCCCTGTGCCTCCCAGCCGTGGCCCCCGCTAGGCCTTCCGGCAGAAAGCCCCGGCAGCCTTTGTCCCCAAGGCCTAGGTAGGAGGATAGGCCAGG</v>
      </c>
      <c r="L273" t="str">
        <f t="shared" si="60"/>
        <v>CGGTG</v>
      </c>
      <c r="M273" t="str">
        <f t="shared" si="61"/>
        <v>CCGTA</v>
      </c>
      <c r="N273">
        <f t="shared" si="62"/>
        <v>155</v>
      </c>
      <c r="O273">
        <f t="shared" si="63"/>
        <v>3</v>
      </c>
      <c r="P273" t="str">
        <f t="shared" si="56"/>
        <v>AGAGACAGGAGCCTTCGGTGCGACCGTACACCAACCCCTCCAA</v>
      </c>
    </row>
    <row r="274" spans="1:16" x14ac:dyDescent="0.25">
      <c r="A274">
        <v>2075872</v>
      </c>
      <c r="B274" t="s">
        <v>31</v>
      </c>
      <c r="C274" t="s">
        <v>299</v>
      </c>
      <c r="E274">
        <f t="shared" si="58"/>
        <v>15</v>
      </c>
      <c r="F274" t="str">
        <f t="shared" si="64"/>
        <v>2075872_chr16:2075960-2075961:C&gt;T</v>
      </c>
      <c r="G274" s="4" t="s">
        <v>1083</v>
      </c>
      <c r="H274" t="s">
        <v>784</v>
      </c>
      <c r="I274" t="s">
        <v>978</v>
      </c>
      <c r="J274" t="s">
        <v>979</v>
      </c>
      <c r="K274" t="str">
        <f t="shared" si="59"/>
        <v>AGAGACAGGAGCCTTCGGTGTGCCCGTACACCAACCCCTCCAAGTGAGTGGTCGCCCCAGGCCCTGTGCCTCCCAGCCGTGGCCCCCGCTAGGCCTTGCGGCAGAAAGCCCTGGCAGCCTTTGTCCCCAAGGCCTAGGTAGGAGGATAGGCCAGG</v>
      </c>
      <c r="L274" t="str">
        <f t="shared" si="60"/>
        <v>CGGTG</v>
      </c>
      <c r="M274" t="str">
        <f t="shared" si="61"/>
        <v>CCGTA</v>
      </c>
      <c r="N274">
        <f t="shared" si="62"/>
        <v>155</v>
      </c>
      <c r="O274">
        <f t="shared" si="63"/>
        <v>3</v>
      </c>
      <c r="P274" t="str">
        <f t="shared" si="56"/>
        <v>AGAGACAGGAGCCTTCGGTGTGCCCGTACACCAACCCCTCCAA</v>
      </c>
    </row>
    <row r="275" spans="1:16" x14ac:dyDescent="0.25">
      <c r="A275">
        <v>2076150</v>
      </c>
      <c r="B275" t="s">
        <v>32</v>
      </c>
      <c r="C275" t="s">
        <v>300</v>
      </c>
      <c r="D275" t="s">
        <v>534</v>
      </c>
      <c r="E275">
        <f t="shared" si="58"/>
        <v>13</v>
      </c>
      <c r="F275" t="str">
        <f>(A275&amp;"_"&amp;D275)</f>
        <v>2076150_wt</v>
      </c>
      <c r="G275" s="1" t="s">
        <v>993</v>
      </c>
      <c r="H275" t="s">
        <v>516</v>
      </c>
      <c r="I275" t="s">
        <v>978</v>
      </c>
      <c r="J275" t="s">
        <v>979</v>
      </c>
      <c r="K275" t="str">
        <f t="shared" si="59"/>
        <v>AGAGACAGGAGCCTTCGGTGCATTTGTCCCTTTCATCACTAAGGTGGGCTCAGGGCCGGTGAAGGCTGTGTCTCTCGGTAGGCCAGGGCTTGCTTTGCCCTTGGCTGTCCATGGTCGGGCAGAGTGACAGGCAGGAGGTAGGAGGATAGGCCAGG</v>
      </c>
      <c r="L275" t="str">
        <f t="shared" si="60"/>
        <v>CGGTG</v>
      </c>
      <c r="M275" t="str">
        <f t="shared" si="61"/>
        <v>TTGTC</v>
      </c>
      <c r="N275">
        <f t="shared" si="62"/>
        <v>155</v>
      </c>
      <c r="O275">
        <f t="shared" si="63"/>
        <v>3</v>
      </c>
      <c r="P275" t="str">
        <f t="shared" si="56"/>
        <v>AGAGACAGGAGCCTTCGGTGCATTTGTCCCTTTCATCACTAAG</v>
      </c>
    </row>
    <row r="276" spans="1:16" x14ac:dyDescent="0.25">
      <c r="A276">
        <v>2076150</v>
      </c>
      <c r="B276" t="s">
        <v>32</v>
      </c>
      <c r="C276" t="s">
        <v>300</v>
      </c>
      <c r="E276">
        <f t="shared" si="58"/>
        <v>13</v>
      </c>
      <c r="F276" t="str">
        <f t="shared" ref="F276:F287" si="65">(A276&amp;"_"&amp;C276)</f>
        <v>2076150_chr16:2076170-2076171:G&gt;A</v>
      </c>
      <c r="G276" s="1" t="s">
        <v>997</v>
      </c>
      <c r="H276" t="s">
        <v>785</v>
      </c>
      <c r="I276" t="s">
        <v>978</v>
      </c>
      <c r="J276" t="s">
        <v>979</v>
      </c>
      <c r="K276" t="str">
        <f t="shared" si="59"/>
        <v>AGAGACAGGAGCCTTCGGTGTGATTGTCCCTTTCATCACTAAGATGGGCTCAGGGCCGGTGAAGGCTGTGTCTCTCGGTAGGCCAGGGCTTGCTTTGCCCTTGGCTGTCCATGGTCGGGCAGAGTGACAGGCAGGAGGTAGGAGGATAGGCCAGG</v>
      </c>
      <c r="L276" t="str">
        <f t="shared" si="60"/>
        <v>CGGTG</v>
      </c>
      <c r="M276" t="str">
        <f t="shared" si="61"/>
        <v>TTGTC</v>
      </c>
      <c r="N276">
        <f t="shared" si="62"/>
        <v>155</v>
      </c>
      <c r="O276">
        <f t="shared" si="63"/>
        <v>3</v>
      </c>
      <c r="P276" t="str">
        <f t="shared" si="56"/>
        <v>AGAGACAGGAGCCTTCGGTGTGATTGTCCCTTTCATCACTAAG</v>
      </c>
    </row>
    <row r="277" spans="1:16" x14ac:dyDescent="0.25">
      <c r="A277">
        <v>2076150</v>
      </c>
      <c r="B277" t="s">
        <v>32</v>
      </c>
      <c r="C277" t="s">
        <v>301</v>
      </c>
      <c r="E277">
        <f t="shared" si="58"/>
        <v>13</v>
      </c>
      <c r="F277" t="str">
        <f t="shared" si="65"/>
        <v>2076150_chr16:2076170-2076171:G&gt;T</v>
      </c>
      <c r="G277" s="1" t="s">
        <v>994</v>
      </c>
      <c r="H277" t="s">
        <v>786</v>
      </c>
      <c r="I277" t="s">
        <v>978</v>
      </c>
      <c r="J277" t="s">
        <v>979</v>
      </c>
      <c r="K277" t="str">
        <f t="shared" si="59"/>
        <v>AGAGACAGGAGCCTTCGGTGGAGTTGTCCCTTTCATCACTAAGTTGGGCTCAGGGCCGGTGAAGGCTGTGTCTCTCGGTAGGCCAGGGCTTGCTTTGCCCTTGGCTGTCCATGGTCGGGCAGAGTGACAGGCAGGAGGTAGGAGGATAGGCCAGG</v>
      </c>
      <c r="L277" t="str">
        <f t="shared" si="60"/>
        <v>CGGTG</v>
      </c>
      <c r="M277" t="str">
        <f t="shared" si="61"/>
        <v>TTGTC</v>
      </c>
      <c r="N277">
        <f t="shared" si="62"/>
        <v>155</v>
      </c>
      <c r="O277">
        <f t="shared" si="63"/>
        <v>3</v>
      </c>
      <c r="P277" t="str">
        <f t="shared" si="56"/>
        <v>AGAGACAGGAGCCTTCGGTGGAGTTGTCCCTTTCATCACTAAG</v>
      </c>
    </row>
    <row r="278" spans="1:16" x14ac:dyDescent="0.25">
      <c r="A278">
        <v>2076150</v>
      </c>
      <c r="B278" t="s">
        <v>32</v>
      </c>
      <c r="C278" t="s">
        <v>302</v>
      </c>
      <c r="E278">
        <f t="shared" si="58"/>
        <v>13</v>
      </c>
      <c r="F278" t="str">
        <f t="shared" si="65"/>
        <v>2076150_chr16:2076171-2076172:T&gt;C</v>
      </c>
      <c r="G278" s="1" t="s">
        <v>1001</v>
      </c>
      <c r="H278" t="s">
        <v>787</v>
      </c>
      <c r="I278" t="s">
        <v>978</v>
      </c>
      <c r="J278" t="s">
        <v>981</v>
      </c>
      <c r="K278" t="str">
        <f t="shared" si="59"/>
        <v>AGAGACAGGAGCCTTCGGTGCGTTTGTCCCTTTCATCACTAAGGCGGGCTCAGGGCCGGTGAAGGCTGTGTCTCTCGGTAGGCCAGGGCTTGCTTTGCCCTTGGCTGTCCATGGTCGGGCAGAGTGACAGGCAGGAGGTAGGAGGATAGGCCAGG</v>
      </c>
      <c r="L278" t="str">
        <f t="shared" si="60"/>
        <v>CGGTG</v>
      </c>
      <c r="M278" t="str">
        <f t="shared" si="61"/>
        <v>TTGTC</v>
      </c>
      <c r="N278">
        <f t="shared" si="62"/>
        <v>155</v>
      </c>
      <c r="O278">
        <f t="shared" si="63"/>
        <v>3</v>
      </c>
      <c r="P278" t="str">
        <f t="shared" si="56"/>
        <v>AGAGACAGGAGCCTTCGGTGCGTTTGTCCCTTTCATCACTAAG</v>
      </c>
    </row>
    <row r="279" spans="1:16" x14ac:dyDescent="0.25">
      <c r="A279">
        <v>2076150</v>
      </c>
      <c r="B279" t="s">
        <v>32</v>
      </c>
      <c r="C279" t="s">
        <v>303</v>
      </c>
      <c r="E279">
        <f t="shared" si="58"/>
        <v>13</v>
      </c>
      <c r="F279" t="str">
        <f t="shared" si="65"/>
        <v>2076150_chr16:2076172-2076173:G&gt;A</v>
      </c>
      <c r="G279" s="1" t="s">
        <v>1004</v>
      </c>
      <c r="H279" t="s">
        <v>788</v>
      </c>
      <c r="I279" t="s">
        <v>978</v>
      </c>
      <c r="J279" t="s">
        <v>979</v>
      </c>
      <c r="K279" t="str">
        <f t="shared" si="59"/>
        <v>AGAGACAGGAGCCTTCGGTGTCGTTGTCCCTTTCATCACTAAGGTAGGCTCAGGGCCGGTGAAGGCTGTGTCTCTCGGTAGGCCAGGGCTTGCTTTGCCCTTGGCTGTCCATGGTCGGGCAGAGTGACAGGCAGGAGGTAGGAGGATAGGCCAGG</v>
      </c>
      <c r="L279" t="str">
        <f t="shared" si="60"/>
        <v>CGGTG</v>
      </c>
      <c r="M279" t="str">
        <f t="shared" si="61"/>
        <v>TTGTC</v>
      </c>
      <c r="N279">
        <f t="shared" si="62"/>
        <v>155</v>
      </c>
      <c r="O279">
        <f t="shared" si="63"/>
        <v>3</v>
      </c>
      <c r="P279" t="str">
        <f t="shared" si="56"/>
        <v>AGAGACAGGAGCCTTCGGTGTCGTTGTCCCTTTCATCACTAAG</v>
      </c>
    </row>
    <row r="280" spans="1:16" x14ac:dyDescent="0.25">
      <c r="A280">
        <v>2076150</v>
      </c>
      <c r="B280" t="s">
        <v>32</v>
      </c>
      <c r="C280" t="s">
        <v>304</v>
      </c>
      <c r="E280">
        <f t="shared" si="58"/>
        <v>13</v>
      </c>
      <c r="F280" t="str">
        <f t="shared" si="65"/>
        <v>2076150_chr16:2076173-2076174:G&gt;A</v>
      </c>
      <c r="G280" s="1" t="s">
        <v>995</v>
      </c>
      <c r="H280" t="s">
        <v>789</v>
      </c>
      <c r="I280" t="s">
        <v>978</v>
      </c>
      <c r="J280" t="s">
        <v>979</v>
      </c>
      <c r="K280" t="str">
        <f t="shared" si="59"/>
        <v>AGAGACAGGAGCCTTCGGTGTATTTGTCCCTTTCATCACTAAGGTGAGCTCAGGGCCGGTGAAGGCTGTGTCTCTCGGTAGGCCAGGGCTTGCTTTGCCCTTGGCTGTCCATGGTCGGGCAGAGTGACAGGCAGGAGGTAGGAGGATAGGCCAGG</v>
      </c>
      <c r="L280" t="str">
        <f t="shared" si="60"/>
        <v>CGGTG</v>
      </c>
      <c r="M280" t="str">
        <f t="shared" si="61"/>
        <v>TTGTC</v>
      </c>
      <c r="N280">
        <f t="shared" si="62"/>
        <v>155</v>
      </c>
      <c r="O280">
        <f t="shared" si="63"/>
        <v>3</v>
      </c>
      <c r="P280" t="str">
        <f t="shared" si="56"/>
        <v>AGAGACAGGAGCCTTCGGTGTATTTGTCCCTTTCATCACTAAG</v>
      </c>
    </row>
    <row r="281" spans="1:16" x14ac:dyDescent="0.25">
      <c r="A281">
        <v>2076150</v>
      </c>
      <c r="B281" t="s">
        <v>32</v>
      </c>
      <c r="C281" t="s">
        <v>305</v>
      </c>
      <c r="E281">
        <f t="shared" si="58"/>
        <v>13</v>
      </c>
      <c r="F281" t="str">
        <f t="shared" si="65"/>
        <v>2076150_chr16:2076174-2076175:G&gt;A</v>
      </c>
      <c r="G281" s="1" t="s">
        <v>996</v>
      </c>
      <c r="H281" t="s">
        <v>790</v>
      </c>
      <c r="I281" t="s">
        <v>978</v>
      </c>
      <c r="J281" t="s">
        <v>979</v>
      </c>
      <c r="K281" t="str">
        <f t="shared" si="59"/>
        <v>AGAGACAGGAGCCTTCGGTGAGTTTGTCCCTTTCATCACTAAGGTGGACTCAGGGCCGGTGAAGGCTGTGTCTCTCGGTAGGCCAGGGCTTGCTTTGCCCTTGGCTGTCCATGGTCGGGCAGAGTGACAGGCAGGAGGTAGGAGGATAGGCCAGG</v>
      </c>
      <c r="L281" t="str">
        <f t="shared" si="60"/>
        <v>CGGTG</v>
      </c>
      <c r="M281" t="str">
        <f t="shared" si="61"/>
        <v>TTGTC</v>
      </c>
      <c r="N281">
        <f t="shared" si="62"/>
        <v>155</v>
      </c>
      <c r="O281">
        <f t="shared" si="63"/>
        <v>3</v>
      </c>
      <c r="P281" t="str">
        <f t="shared" si="56"/>
        <v>AGAGACAGGAGCCTTCGGTGAGTTTGTCCCTTTCATCACTAAG</v>
      </c>
    </row>
    <row r="282" spans="1:16" x14ac:dyDescent="0.25">
      <c r="A282">
        <v>2076150</v>
      </c>
      <c r="B282" t="s">
        <v>32</v>
      </c>
      <c r="C282" t="s">
        <v>306</v>
      </c>
      <c r="E282">
        <f t="shared" si="58"/>
        <v>13</v>
      </c>
      <c r="F282" t="str">
        <f t="shared" si="65"/>
        <v>2076150_chr16:2076175-2076176:C&gt;G</v>
      </c>
      <c r="G282" s="5" t="s">
        <v>1075</v>
      </c>
      <c r="H282" t="s">
        <v>791</v>
      </c>
      <c r="I282" t="s">
        <v>978</v>
      </c>
      <c r="J282" t="s">
        <v>979</v>
      </c>
      <c r="K282" t="str">
        <f t="shared" si="59"/>
        <v>AGAGACAGGAGCCTTCGGTGCGATTGTCCCTTTCATCACTAAGGTGGGGTCAGGGCCGGTGAAGGCTGTGTCTCTCGGTAGGCCAGGGCTTGCTTTGCCCTTGGCTGTCCATGGTCGGGCAGAGTGACAGGCAGGAGGTAGGAGGATAGGCCAGG</v>
      </c>
      <c r="L282" t="str">
        <f t="shared" si="60"/>
        <v>CGGTG</v>
      </c>
      <c r="M282" t="str">
        <f t="shared" si="61"/>
        <v>TTGTC</v>
      </c>
      <c r="N282">
        <f t="shared" si="62"/>
        <v>155</v>
      </c>
      <c r="O282">
        <f t="shared" si="63"/>
        <v>3</v>
      </c>
      <c r="P282" t="str">
        <f t="shared" si="56"/>
        <v>AGAGACAGGAGCCTTCGGTGCGATTGTCCCTTTCATCACTAAG</v>
      </c>
    </row>
    <row r="283" spans="1:16" x14ac:dyDescent="0.25">
      <c r="A283">
        <v>2076150</v>
      </c>
      <c r="B283" t="s">
        <v>32</v>
      </c>
      <c r="C283" t="s">
        <v>307</v>
      </c>
      <c r="E283">
        <f t="shared" si="58"/>
        <v>13</v>
      </c>
      <c r="F283" t="str">
        <f t="shared" si="65"/>
        <v>2076150_chr16:2076175-2076176:C&gt;T</v>
      </c>
      <c r="G283" s="5" t="s">
        <v>1084</v>
      </c>
      <c r="H283" t="s">
        <v>792</v>
      </c>
      <c r="I283" t="s">
        <v>978</v>
      </c>
      <c r="J283" t="s">
        <v>979</v>
      </c>
      <c r="K283" t="str">
        <f t="shared" si="59"/>
        <v>AGAGACAGGAGCCTTCGGTGGGATTGTCCCTTTCATCACTAAGGTGGGTTCAGGGCCGGTGAAGGCTGTGTCTCTCGGTAGGCCAGGGCTTGCTTTGCCCTTGGCTGTCCATGGTCGGGCAGAGTGACAGGCAGGAGGTAGGAGGATAGGCCAGG</v>
      </c>
      <c r="L283" t="str">
        <f t="shared" si="60"/>
        <v>CGGTG</v>
      </c>
      <c r="M283" t="str">
        <f t="shared" si="61"/>
        <v>TTGTC</v>
      </c>
      <c r="N283">
        <f t="shared" si="62"/>
        <v>155</v>
      </c>
      <c r="O283">
        <f t="shared" si="63"/>
        <v>3</v>
      </c>
      <c r="P283" t="str">
        <f t="shared" si="56"/>
        <v>AGAGACAGGAGCCTTCGGTGGGATTGTCCCTTTCATCACTAAG</v>
      </c>
    </row>
    <row r="284" spans="1:16" x14ac:dyDescent="0.25">
      <c r="A284">
        <v>2076150</v>
      </c>
      <c r="B284" t="s">
        <v>32</v>
      </c>
      <c r="C284" t="s">
        <v>308</v>
      </c>
      <c r="E284">
        <f t="shared" si="58"/>
        <v>13</v>
      </c>
      <c r="F284" t="str">
        <f t="shared" si="65"/>
        <v>2076150_chr16:2076182-2076183:C&gt;T</v>
      </c>
      <c r="G284" s="1" t="s">
        <v>1000</v>
      </c>
      <c r="H284" t="s">
        <v>793</v>
      </c>
      <c r="I284" t="s">
        <v>980</v>
      </c>
      <c r="J284" t="s">
        <v>979</v>
      </c>
      <c r="K284" t="str">
        <f t="shared" si="59"/>
        <v>AGAGACAGGAGCCTTCGGTGAGCTTGTCCCTTTCATCACTAAGGTGGGCTCAGGGTCGGTGAAGGCTGTGTCTCTCGGTAGGCCAGGGCTTGCTTTGCCCTTGGCTGTCCATGGTCGGGCAGAGTGACAGGCAGGAGGTAGGAGGATAGGCCAGG</v>
      </c>
      <c r="L284" t="str">
        <f t="shared" si="60"/>
        <v>CGGTG</v>
      </c>
      <c r="M284" t="str">
        <f t="shared" si="61"/>
        <v>TTGTC</v>
      </c>
      <c r="N284">
        <f t="shared" si="62"/>
        <v>155</v>
      </c>
      <c r="O284">
        <f t="shared" si="63"/>
        <v>3</v>
      </c>
      <c r="P284" t="str">
        <f t="shared" si="56"/>
        <v>AGAGACAGGAGCCTTCGGTGAGCTTGTCCCTTTCATCACTAAG</v>
      </c>
    </row>
    <row r="285" spans="1:16" x14ac:dyDescent="0.25">
      <c r="A285">
        <v>2076150</v>
      </c>
      <c r="B285" t="s">
        <v>32</v>
      </c>
      <c r="C285" t="s">
        <v>309</v>
      </c>
      <c r="E285">
        <f t="shared" si="58"/>
        <v>13</v>
      </c>
      <c r="F285" t="str">
        <f t="shared" si="65"/>
        <v>2076150_chr16:2076183-2076184:C&gt;T</v>
      </c>
      <c r="G285" s="5" t="s">
        <v>1082</v>
      </c>
      <c r="H285" t="s">
        <v>794</v>
      </c>
      <c r="I285" t="s">
        <v>978</v>
      </c>
      <c r="J285" t="s">
        <v>979</v>
      </c>
      <c r="K285" t="str">
        <f t="shared" si="59"/>
        <v>AGAGACAGGAGCCTTCGGTGGATTTGTCCCTTTCATCACTAAGGTGGGCTCAGGGCTGGTGAAGGCTGTGTCTCTCGGTAGGCCAGGGCTTGCTTTGCCCTTGGCTGTCCATGGTCGGGCAGAGTGACAGGCAGGAGGTAGGAGGATAGGCCAGG</v>
      </c>
      <c r="L285" t="str">
        <f t="shared" si="60"/>
        <v>CGGTG</v>
      </c>
      <c r="M285" t="str">
        <f t="shared" si="61"/>
        <v>TTGTC</v>
      </c>
      <c r="N285">
        <f t="shared" si="62"/>
        <v>155</v>
      </c>
      <c r="O285">
        <f t="shared" si="63"/>
        <v>3</v>
      </c>
      <c r="P285" t="str">
        <f t="shared" si="56"/>
        <v>AGAGACAGGAGCCTTCGGTGGATTTGTCCCTTTCATCACTAAG</v>
      </c>
    </row>
    <row r="286" spans="1:16" x14ac:dyDescent="0.25">
      <c r="A286">
        <v>2076150</v>
      </c>
      <c r="B286" t="s">
        <v>32</v>
      </c>
      <c r="C286" t="s">
        <v>310</v>
      </c>
      <c r="E286">
        <f t="shared" si="58"/>
        <v>13</v>
      </c>
      <c r="F286" t="str">
        <f t="shared" si="65"/>
        <v>2076150_chr16:2076184-2076185:G&gt;A</v>
      </c>
      <c r="G286" s="5" t="s">
        <v>1085</v>
      </c>
      <c r="H286" t="s">
        <v>795</v>
      </c>
      <c r="I286" t="s">
        <v>978</v>
      </c>
      <c r="J286" t="s">
        <v>979</v>
      </c>
      <c r="K286" t="str">
        <f t="shared" si="59"/>
        <v>AGAGACAGGAGCCTTCGGTGTGCTTGTCCCTTTCATCACTAAGGTGGGCTCAGGGCCAGTGAAGGCTGTGTCTCTCGGTAGGCCAGGGCTTGCTTTGCCCTTGGCTGTCCATGGTCGGGCAGAGTGACAGGCAGGAGGTAGGAGGATAGGCCAGG</v>
      </c>
      <c r="L286" t="str">
        <f t="shared" si="60"/>
        <v>CGGTG</v>
      </c>
      <c r="M286" t="str">
        <f t="shared" si="61"/>
        <v>TTGTC</v>
      </c>
      <c r="N286">
        <f t="shared" si="62"/>
        <v>155</v>
      </c>
      <c r="O286">
        <f t="shared" si="63"/>
        <v>3</v>
      </c>
      <c r="P286" t="str">
        <f t="shared" si="56"/>
        <v>AGAGACAGGAGCCTTCGGTGTGCTTGTCCCTTTCATCACTAAG</v>
      </c>
    </row>
    <row r="287" spans="1:16" x14ac:dyDescent="0.25">
      <c r="A287">
        <v>2076150</v>
      </c>
      <c r="B287" t="s">
        <v>32</v>
      </c>
      <c r="C287" t="s">
        <v>311</v>
      </c>
      <c r="E287">
        <f t="shared" si="58"/>
        <v>13</v>
      </c>
      <c r="F287" t="str">
        <f t="shared" si="65"/>
        <v>2076150_chr16:2076189-2076190:A&gt;C</v>
      </c>
      <c r="G287" s="1" t="s">
        <v>1003</v>
      </c>
      <c r="H287" t="s">
        <v>796</v>
      </c>
      <c r="I287" t="s">
        <v>978</v>
      </c>
      <c r="J287" t="s">
        <v>979</v>
      </c>
      <c r="K287" t="str">
        <f t="shared" si="59"/>
        <v>AGAGACAGGAGCCTTCGGTGGCATTGTCCCTTTCATCACTAAGGTGGGCTCAGGGCCGGTGACGGCTGTGTCTCTCGGTAGGCCAGGGCTTGCTTTGCCCTTGGCTGTCCATGGTCGGGCAGAGTGACAGGCAGGAGGTAGGAGGATAGGCCAGG</v>
      </c>
      <c r="L287" t="str">
        <f t="shared" si="60"/>
        <v>CGGTG</v>
      </c>
      <c r="M287" t="str">
        <f t="shared" si="61"/>
        <v>TTGTC</v>
      </c>
      <c r="N287">
        <f t="shared" si="62"/>
        <v>155</v>
      </c>
      <c r="O287">
        <f t="shared" si="63"/>
        <v>3</v>
      </c>
      <c r="P287" t="str">
        <f t="shared" si="56"/>
        <v>AGAGACAGGAGCCTTCGGTGGCATTGTCCCTTTCATCACTAAG</v>
      </c>
    </row>
    <row r="288" spans="1:16" x14ac:dyDescent="0.25">
      <c r="A288">
        <v>2076565</v>
      </c>
      <c r="B288" t="s">
        <v>33</v>
      </c>
      <c r="C288" t="s">
        <v>312</v>
      </c>
      <c r="D288" t="s">
        <v>534</v>
      </c>
      <c r="E288">
        <f t="shared" si="58"/>
        <v>10</v>
      </c>
      <c r="F288" t="str">
        <f>(A288&amp;"_"&amp;D288)</f>
        <v>2076565_wt</v>
      </c>
      <c r="G288" t="s">
        <v>984</v>
      </c>
      <c r="H288" t="s">
        <v>517</v>
      </c>
      <c r="I288" t="s">
        <v>978</v>
      </c>
      <c r="J288" t="s">
        <v>981</v>
      </c>
      <c r="K288" t="str">
        <f t="shared" si="59"/>
        <v>AGAGACAGGAGCCTTCGGTGCACTCAACGAGAGACCCAAGAGGTACGGCCTGCGGGGGTGTGCCTGGAGTCGGTGTGGGGTGGGGAAGGACATGGGGCTGTGGCCTGCCTGACGGTGCCTCCAAGTCAGTGAGTAGGTAGGAGGATAGGCCAGG</v>
      </c>
      <c r="L288" t="str">
        <f t="shared" si="60"/>
        <v>CGGTG</v>
      </c>
      <c r="M288" t="str">
        <f t="shared" si="61"/>
        <v>CTCAA</v>
      </c>
      <c r="N288">
        <f t="shared" si="62"/>
        <v>154</v>
      </c>
      <c r="O288">
        <f t="shared" si="63"/>
        <v>2</v>
      </c>
      <c r="P288" t="str">
        <f t="shared" ref="P288:P333" si="66">LEFT(K288,42)</f>
        <v>AGAGACAGGAGCCTTCGGTGCACTCAACGAGAGACCCAAGAG</v>
      </c>
    </row>
    <row r="289" spans="1:16" x14ac:dyDescent="0.25">
      <c r="A289">
        <v>2076565</v>
      </c>
      <c r="B289" t="s">
        <v>33</v>
      </c>
      <c r="C289" t="s">
        <v>312</v>
      </c>
      <c r="E289">
        <f t="shared" si="58"/>
        <v>10</v>
      </c>
      <c r="F289" t="str">
        <f t="shared" ref="F289:F297" si="67">(A289&amp;"_"&amp;C289)</f>
        <v>2076565_chr16:2076585-2076586:G&gt;T</v>
      </c>
      <c r="G289" t="s">
        <v>985</v>
      </c>
      <c r="H289" t="s">
        <v>797</v>
      </c>
      <c r="I289" t="s">
        <v>978</v>
      </c>
      <c r="J289" t="s">
        <v>979</v>
      </c>
      <c r="K289" t="str">
        <f t="shared" si="59"/>
        <v>AGAGACAGGAGCCTTCGGTGATCTCAACGAGAGACCCAAGAGTTACGGCCTGCGGGGGTGTGCCTGGAGTCGGTGTGGGGTGGGGAAGGACATGGGGCTGTGGCCTGCCTGACGGTGCCTCCAAGTCAGTGAGTAGGTAGGAGGATAGGCCAGG</v>
      </c>
      <c r="L289" t="str">
        <f t="shared" si="60"/>
        <v>CGGTG</v>
      </c>
      <c r="M289" t="str">
        <f t="shared" si="61"/>
        <v>CTCAA</v>
      </c>
      <c r="N289">
        <f t="shared" si="62"/>
        <v>154</v>
      </c>
      <c r="O289">
        <f t="shared" si="63"/>
        <v>2</v>
      </c>
      <c r="P289" t="str">
        <f t="shared" si="66"/>
        <v>AGAGACAGGAGCCTTCGGTGATCTCAACGAGAGACCCAAGAG</v>
      </c>
    </row>
    <row r="290" spans="1:16" x14ac:dyDescent="0.25">
      <c r="A290">
        <v>2076565</v>
      </c>
      <c r="B290" t="s">
        <v>33</v>
      </c>
      <c r="C290" t="s">
        <v>313</v>
      </c>
      <c r="E290">
        <f t="shared" si="58"/>
        <v>10</v>
      </c>
      <c r="F290" t="str">
        <f t="shared" si="67"/>
        <v>2076565_chr16:2076587-2076588:A&gt;G</v>
      </c>
      <c r="G290" t="s">
        <v>1011</v>
      </c>
      <c r="H290" t="s">
        <v>798</v>
      </c>
      <c r="I290" t="s">
        <v>978</v>
      </c>
      <c r="J290" t="s">
        <v>979</v>
      </c>
      <c r="K290" t="str">
        <f t="shared" si="59"/>
        <v>AGAGACAGGAGCCTTCGGTGTGCTCAACGAGAGACCCAAGAGGTGCGGCCTGCGGGGGTGTGCCTGGAGTCGGTGTGGGGTGGGGAAGGACATGGGGCTGTGGCCTGCCTGACGGTGCCTCCAAGTCAGTGAGTAGGTAGGAGGATAGGCCAGG</v>
      </c>
      <c r="L290" t="str">
        <f t="shared" si="60"/>
        <v>CGGTG</v>
      </c>
      <c r="M290" t="str">
        <f t="shared" si="61"/>
        <v>CTCAA</v>
      </c>
      <c r="N290">
        <f t="shared" si="62"/>
        <v>154</v>
      </c>
      <c r="O290">
        <f t="shared" si="63"/>
        <v>2</v>
      </c>
      <c r="P290" t="str">
        <f t="shared" si="66"/>
        <v>AGAGACAGGAGCCTTCGGTGTGCTCAACGAGAGACCCAAGAG</v>
      </c>
    </row>
    <row r="291" spans="1:16" x14ac:dyDescent="0.25">
      <c r="A291">
        <v>2076565</v>
      </c>
      <c r="B291" t="s">
        <v>33</v>
      </c>
      <c r="C291" t="s">
        <v>314</v>
      </c>
      <c r="E291">
        <f t="shared" si="58"/>
        <v>10</v>
      </c>
      <c r="F291" t="str">
        <f t="shared" si="67"/>
        <v>2076565_chr16:2076588-2076589:C&gt;T</v>
      </c>
      <c r="G291" s="4" t="s">
        <v>1086</v>
      </c>
      <c r="H291" t="s">
        <v>799</v>
      </c>
      <c r="I291" t="s">
        <v>978</v>
      </c>
      <c r="J291" t="s">
        <v>979</v>
      </c>
      <c r="K291" t="str">
        <f t="shared" si="59"/>
        <v>AGAGACAGGAGCCTTCGGTGTACTCAACGAGAGACCCAAGAGGTATGGCCTGCGGGGGTGTGCCTGGAGTCGGTGTGGGGTGGGGAAGGACATGGGGCTGTGGCCTGCCTGACGGTGCCTCCAAGTCAGTGAGTAGGTAGGAGGATAGGCCAGG</v>
      </c>
      <c r="L291" t="str">
        <f t="shared" si="60"/>
        <v>CGGTG</v>
      </c>
      <c r="M291" t="str">
        <f t="shared" si="61"/>
        <v>CTCAA</v>
      </c>
      <c r="N291">
        <f t="shared" si="62"/>
        <v>154</v>
      </c>
      <c r="O291">
        <f t="shared" si="63"/>
        <v>2</v>
      </c>
      <c r="P291" t="str">
        <f t="shared" si="66"/>
        <v>AGAGACAGGAGCCTTCGGTGTACTCAACGAGAGACCCAAGAG</v>
      </c>
    </row>
    <row r="292" spans="1:16" x14ac:dyDescent="0.25">
      <c r="A292">
        <v>2076565</v>
      </c>
      <c r="B292" t="s">
        <v>33</v>
      </c>
      <c r="C292" t="s">
        <v>315</v>
      </c>
      <c r="E292">
        <f t="shared" si="58"/>
        <v>10</v>
      </c>
      <c r="F292" t="str">
        <f t="shared" si="67"/>
        <v>2076565_chr16:2076589-2076590:G&gt;A</v>
      </c>
      <c r="G292" t="s">
        <v>987</v>
      </c>
      <c r="H292" t="s">
        <v>800</v>
      </c>
      <c r="I292" t="s">
        <v>978</v>
      </c>
      <c r="J292" t="s">
        <v>979</v>
      </c>
      <c r="K292" t="str">
        <f t="shared" si="59"/>
        <v>AGAGACAGGAGCCTTCGGTGGCCTCAACGAGAGACCCAAGAGGTACAGCCTGCGGGGGTGTGCCTGGAGTCGGTGTGGGGTGGGGAAGGACATGGGGCTGTGGCCTGCCTGACGGTGCCTCCAAGTCAGTGAGTAGGTAGGAGGATAGGCCAGG</v>
      </c>
      <c r="L292" t="str">
        <f t="shared" si="60"/>
        <v>CGGTG</v>
      </c>
      <c r="M292" t="str">
        <f t="shared" si="61"/>
        <v>CTCAA</v>
      </c>
      <c r="N292">
        <f t="shared" si="62"/>
        <v>154</v>
      </c>
      <c r="O292">
        <f t="shared" si="63"/>
        <v>2</v>
      </c>
      <c r="P292" t="str">
        <f t="shared" si="66"/>
        <v>AGAGACAGGAGCCTTCGGTGGCCTCAACGAGAGACCCAAGAG</v>
      </c>
    </row>
    <row r="293" spans="1:16" x14ac:dyDescent="0.25">
      <c r="A293">
        <v>2076565</v>
      </c>
      <c r="B293" t="s">
        <v>33</v>
      </c>
      <c r="C293" t="s">
        <v>316</v>
      </c>
      <c r="E293">
        <f t="shared" si="58"/>
        <v>10</v>
      </c>
      <c r="F293" t="str">
        <f t="shared" si="67"/>
        <v>2076565_chr16:2076593-2076594:T&gt;C</v>
      </c>
      <c r="G293" t="s">
        <v>988</v>
      </c>
      <c r="H293" t="s">
        <v>801</v>
      </c>
      <c r="I293" t="s">
        <v>978</v>
      </c>
      <c r="J293" t="s">
        <v>979</v>
      </c>
      <c r="K293" t="str">
        <f t="shared" si="59"/>
        <v>AGAGACAGGAGCCTTCGGTGACCTCAACGAGAGACCCAAGAGGTACGGCCCGCGGGGGTGTGCCTGGAGTCGGTGTGGGGTGGGGAAGGACATGGGGCTGTGGCCTGCCTGACGGTGCCTCCAAGTCAGTGAGTAGGTAGGAGGATAGGCCAGG</v>
      </c>
      <c r="L293" t="str">
        <f t="shared" si="60"/>
        <v>CGGTG</v>
      </c>
      <c r="M293" t="str">
        <f t="shared" si="61"/>
        <v>CTCAA</v>
      </c>
      <c r="N293">
        <f t="shared" si="62"/>
        <v>154</v>
      </c>
      <c r="O293">
        <f t="shared" si="63"/>
        <v>2</v>
      </c>
      <c r="P293" t="str">
        <f t="shared" si="66"/>
        <v>AGAGACAGGAGCCTTCGGTGACCTCAACGAGAGACCCAAGAG</v>
      </c>
    </row>
    <row r="294" spans="1:16" x14ac:dyDescent="0.25">
      <c r="A294">
        <v>2076565</v>
      </c>
      <c r="B294" t="s">
        <v>33</v>
      </c>
      <c r="C294" t="s">
        <v>317</v>
      </c>
      <c r="E294">
        <f t="shared" si="58"/>
        <v>10</v>
      </c>
      <c r="F294" t="str">
        <f t="shared" si="67"/>
        <v>2076565_chr16:2076596-2076596:-&gt;C</v>
      </c>
      <c r="G294" t="s">
        <v>989</v>
      </c>
      <c r="H294" t="s">
        <v>802</v>
      </c>
      <c r="I294" t="s">
        <v>978</v>
      </c>
      <c r="J294" t="s">
        <v>979</v>
      </c>
      <c r="K294" t="str">
        <f t="shared" si="59"/>
        <v>AGAGACAGGAGCCTTCGGTGCGCTCAACGAGAGACCCAAGAGGTACGGCCTGCCGGGGGTGTGCCTGGAGTCGGTGTGGGGTGGGGAAGGACATGGGGCTGTGGCCTGCCTGACGGTGCCTCCAAGTCAGTGAGTAGGTAGGAGGATAGGCCAGG</v>
      </c>
      <c r="L294" t="str">
        <f t="shared" si="60"/>
        <v>CGGTG</v>
      </c>
      <c r="M294" t="str">
        <f t="shared" si="61"/>
        <v>CTCAA</v>
      </c>
      <c r="N294">
        <f t="shared" si="62"/>
        <v>155</v>
      </c>
      <c r="O294">
        <f t="shared" si="63"/>
        <v>2</v>
      </c>
      <c r="P294" t="str">
        <f t="shared" si="66"/>
        <v>AGAGACAGGAGCCTTCGGTGCGCTCAACGAGAGACCCAAGAG</v>
      </c>
    </row>
    <row r="295" spans="1:16" x14ac:dyDescent="0.25">
      <c r="A295">
        <v>2076565</v>
      </c>
      <c r="B295" t="s">
        <v>33</v>
      </c>
      <c r="C295" t="s">
        <v>318</v>
      </c>
      <c r="E295">
        <f t="shared" si="58"/>
        <v>10</v>
      </c>
      <c r="F295" t="str">
        <f t="shared" si="67"/>
        <v>2076565_chr16:2076596-2076597:G&gt;A</v>
      </c>
      <c r="G295" t="s">
        <v>990</v>
      </c>
      <c r="H295" t="s">
        <v>803</v>
      </c>
      <c r="I295" t="s">
        <v>978</v>
      </c>
      <c r="J295" t="s">
        <v>981</v>
      </c>
      <c r="K295" t="str">
        <f t="shared" si="59"/>
        <v>AGAGACAGGAGCCTTCGGTGGTCTCAACGAGAGACCCAAGAGGTACGGCCTGCAGGGGTGTGCCTGGAGTCGGTGTGGGGTGGGGAAGGACATGGGGCTGTGGCCTGCCTGACGGTGCCTCCAAGTCAGTGAGTAGGTAGGAGGATAGGCCAGG</v>
      </c>
      <c r="L295" t="str">
        <f t="shared" si="60"/>
        <v>CGGTG</v>
      </c>
      <c r="M295" t="str">
        <f t="shared" si="61"/>
        <v>CTCAA</v>
      </c>
      <c r="N295">
        <f t="shared" si="62"/>
        <v>154</v>
      </c>
      <c r="O295">
        <f t="shared" si="63"/>
        <v>2</v>
      </c>
      <c r="P295" t="str">
        <f t="shared" si="66"/>
        <v>AGAGACAGGAGCCTTCGGTGGTCTCAACGAGAGACCCAAGAG</v>
      </c>
    </row>
    <row r="296" spans="1:16" x14ac:dyDescent="0.25">
      <c r="A296">
        <v>2076565</v>
      </c>
      <c r="B296" t="s">
        <v>33</v>
      </c>
      <c r="C296" t="s">
        <v>319</v>
      </c>
      <c r="E296">
        <f t="shared" si="58"/>
        <v>10</v>
      </c>
      <c r="F296" t="str">
        <f t="shared" si="67"/>
        <v>2076565_chr16:2076600-2076601:G&gt;A</v>
      </c>
      <c r="G296" t="s">
        <v>991</v>
      </c>
      <c r="H296" t="s">
        <v>804</v>
      </c>
      <c r="I296" t="s">
        <v>978</v>
      </c>
      <c r="J296" t="s">
        <v>979</v>
      </c>
      <c r="K296" t="str">
        <f t="shared" si="59"/>
        <v>AGAGACAGGAGCCTTCGGTGGACTCAACGAGAGACCCAAGAGGTACGGCCTGCGGGGATGTGCCTGGAGTCGGTGTGGGGTGGGGAAGGACATGGGGCTGTGGCCTGCCTGACGGTGCCTCCAAGTCAGTGAGTAGGTAGGAGGATAGGCCAGG</v>
      </c>
      <c r="L296" t="str">
        <f t="shared" si="60"/>
        <v>CGGTG</v>
      </c>
      <c r="M296" t="str">
        <f t="shared" si="61"/>
        <v>CTCAA</v>
      </c>
      <c r="N296">
        <f t="shared" si="62"/>
        <v>154</v>
      </c>
      <c r="O296">
        <f t="shared" si="63"/>
        <v>2</v>
      </c>
      <c r="P296" t="str">
        <f t="shared" si="66"/>
        <v>AGAGACAGGAGCCTTCGGTGGACTCAACGAGAGACCCAAGAG</v>
      </c>
    </row>
    <row r="297" spans="1:16" x14ac:dyDescent="0.25">
      <c r="A297">
        <v>2076565</v>
      </c>
      <c r="B297" t="s">
        <v>33</v>
      </c>
      <c r="C297" t="s">
        <v>320</v>
      </c>
      <c r="E297">
        <f t="shared" si="58"/>
        <v>10</v>
      </c>
      <c r="F297" t="str">
        <f t="shared" si="67"/>
        <v>2076565_chr16:2076664-2076665:C&gt;T</v>
      </c>
      <c r="G297" t="s">
        <v>992</v>
      </c>
      <c r="H297" t="s">
        <v>805</v>
      </c>
      <c r="I297" t="s">
        <v>978</v>
      </c>
      <c r="J297" t="s">
        <v>979</v>
      </c>
      <c r="K297" t="str">
        <f t="shared" si="59"/>
        <v>AGAGACAGGAGCCTTCGGTGTCCTCAACGAGAGACCCAAGAGGTACGGCCTGCGGGGGTGTGCCTGGAGTCGGTGTGGGGTGGGGAAGGACATGGGGCTGTGGCCTGCCTGACGGTGCCTCTAAGTCAGTGAGTAGGTAGGAGGATAGGCCAGG</v>
      </c>
      <c r="L297" t="str">
        <f t="shared" si="60"/>
        <v>CGGTG</v>
      </c>
      <c r="M297" t="str">
        <f t="shared" si="61"/>
        <v>CTCAA</v>
      </c>
      <c r="N297">
        <f t="shared" si="62"/>
        <v>154</v>
      </c>
      <c r="O297">
        <f t="shared" si="63"/>
        <v>2</v>
      </c>
      <c r="P297" t="str">
        <f t="shared" si="66"/>
        <v>AGAGACAGGAGCCTTCGGTGTCCTCAACGAGAGACCCAAGAG</v>
      </c>
    </row>
    <row r="298" spans="1:16" x14ac:dyDescent="0.25">
      <c r="A298">
        <v>2077706</v>
      </c>
      <c r="B298" t="s">
        <v>34</v>
      </c>
      <c r="C298" t="s">
        <v>321</v>
      </c>
      <c r="D298" t="s">
        <v>534</v>
      </c>
      <c r="E298">
        <f t="shared" si="58"/>
        <v>6</v>
      </c>
      <c r="F298" t="str">
        <f>(A298&amp;"_"&amp;D298)</f>
        <v>2077706_wt</v>
      </c>
      <c r="G298" s="4" t="s">
        <v>1087</v>
      </c>
      <c r="H298" t="s">
        <v>518</v>
      </c>
      <c r="I298" t="s">
        <v>978</v>
      </c>
      <c r="J298" t="s">
        <v>979</v>
      </c>
      <c r="K298" t="str">
        <f t="shared" si="59"/>
        <v>AGAGACAGGAGCCTTCGGTGTGTCTGAACATGTGGTCCGCAGGTAGCGGGACTGTCGGGTGGGGGGCACGGACCCTGGAGCTTGGCCCCGTGAGCACCTGGGTGGCAGTGCATGGGGCTGCTTGCATGACCTCAAGGTAGGAGGATAGGCCAGG</v>
      </c>
      <c r="L298" t="str">
        <f t="shared" si="60"/>
        <v>CGGTG</v>
      </c>
      <c r="M298" t="str">
        <f t="shared" si="61"/>
        <v>TCTGA</v>
      </c>
      <c r="N298">
        <f t="shared" si="62"/>
        <v>154</v>
      </c>
      <c r="O298">
        <f t="shared" si="63"/>
        <v>2</v>
      </c>
      <c r="P298" t="str">
        <f t="shared" si="66"/>
        <v>AGAGACAGGAGCCTTCGGTGTGTCTGAACATGTGGTCCGCAG</v>
      </c>
    </row>
    <row r="299" spans="1:16" x14ac:dyDescent="0.25">
      <c r="A299">
        <v>2077706</v>
      </c>
      <c r="B299" t="s">
        <v>34</v>
      </c>
      <c r="C299" t="s">
        <v>321</v>
      </c>
      <c r="E299">
        <f t="shared" si="58"/>
        <v>6</v>
      </c>
      <c r="F299" t="str">
        <f>(A299&amp;"_"&amp;C299)</f>
        <v>2077706_chr16:2077729-2077730:G&gt;T</v>
      </c>
      <c r="G299" t="s">
        <v>987</v>
      </c>
      <c r="H299" t="s">
        <v>806</v>
      </c>
      <c r="I299" t="s">
        <v>978</v>
      </c>
      <c r="J299" t="s">
        <v>979</v>
      </c>
      <c r="K299" t="str">
        <f t="shared" si="59"/>
        <v>AGAGACAGGAGCCTTCGGTGGCTCTGAACATGTGGTCCGCAGGTATCGGGACTGTCGGGTGGGGGGCACGGACCCTGGAGCTTGGCCCCGTGAGCACCTGGGTGGCAGTGCATGGGGCTGCTTGCATGACCTCAAGGTAGGAGGATAGGCCAGG</v>
      </c>
      <c r="L299" t="str">
        <f t="shared" si="60"/>
        <v>CGGTG</v>
      </c>
      <c r="M299" t="str">
        <f t="shared" si="61"/>
        <v>TCTGA</v>
      </c>
      <c r="N299">
        <f t="shared" si="62"/>
        <v>154</v>
      </c>
      <c r="O299">
        <f t="shared" si="63"/>
        <v>2</v>
      </c>
      <c r="P299" t="str">
        <f t="shared" si="66"/>
        <v>AGAGACAGGAGCCTTCGGTGGCTCTGAACATGTGGTCCGCAG</v>
      </c>
    </row>
    <row r="300" spans="1:16" x14ac:dyDescent="0.25">
      <c r="A300">
        <v>2077706</v>
      </c>
      <c r="B300" t="s">
        <v>34</v>
      </c>
      <c r="C300" t="s">
        <v>322</v>
      </c>
      <c r="E300">
        <f t="shared" si="58"/>
        <v>6</v>
      </c>
      <c r="F300" t="str">
        <f>(A300&amp;"_"&amp;C300)</f>
        <v>2077706_chr16:2077730-2077731:C&gt;T</v>
      </c>
      <c r="G300" t="s">
        <v>988</v>
      </c>
      <c r="H300" t="s">
        <v>807</v>
      </c>
      <c r="I300" t="s">
        <v>978</v>
      </c>
      <c r="J300" t="s">
        <v>979</v>
      </c>
      <c r="K300" t="str">
        <f t="shared" si="59"/>
        <v>AGAGACAGGAGCCTTCGGTGACTCTGAACATGTGGTCCGCAGGTAGTGGGACTGTCGGGTGGGGGGCACGGACCCTGGAGCTTGGCCCCGTGAGCACCTGGGTGGCAGTGCATGGGGCTGCTTGCATGACCTCAAGGTAGGAGGATAGGCCAGG</v>
      </c>
      <c r="L300" t="str">
        <f t="shared" si="60"/>
        <v>CGGTG</v>
      </c>
      <c r="M300" t="str">
        <f t="shared" si="61"/>
        <v>TCTGA</v>
      </c>
      <c r="N300">
        <f t="shared" si="62"/>
        <v>154</v>
      </c>
      <c r="O300">
        <f t="shared" si="63"/>
        <v>2</v>
      </c>
      <c r="P300" t="str">
        <f t="shared" si="66"/>
        <v>AGAGACAGGAGCCTTCGGTGACTCTGAACATGTGGTCCGCAG</v>
      </c>
    </row>
    <row r="301" spans="1:16" x14ac:dyDescent="0.25">
      <c r="A301">
        <v>2077706</v>
      </c>
      <c r="B301" t="s">
        <v>34</v>
      </c>
      <c r="C301" t="s">
        <v>323</v>
      </c>
      <c r="E301">
        <f t="shared" si="58"/>
        <v>6</v>
      </c>
      <c r="F301" t="str">
        <f>(A301&amp;"_"&amp;C301)</f>
        <v>2077706_chr16:2077731-2077732:G&gt;A</v>
      </c>
      <c r="G301" t="s">
        <v>989</v>
      </c>
      <c r="H301" t="s">
        <v>808</v>
      </c>
      <c r="I301" t="s">
        <v>978</v>
      </c>
      <c r="J301" t="s">
        <v>979</v>
      </c>
      <c r="K301" t="str">
        <f t="shared" si="59"/>
        <v>AGAGACAGGAGCCTTCGGTGCGTCTGAACATGTGGTCCGCAGGTAGCAGGACTGTCGGGTGGGGGGCACGGACCCTGGAGCTTGGCCCCGTGAGCACCTGGGTGGCAGTGCATGGGGCTGCTTGCATGACCTCAAGGTAGGAGGATAGGCCAGG</v>
      </c>
      <c r="L301" t="str">
        <f t="shared" si="60"/>
        <v>CGGTG</v>
      </c>
      <c r="M301" t="str">
        <f t="shared" si="61"/>
        <v>TCTGA</v>
      </c>
      <c r="N301">
        <f t="shared" si="62"/>
        <v>154</v>
      </c>
      <c r="O301">
        <f t="shared" si="63"/>
        <v>2</v>
      </c>
      <c r="P301" t="str">
        <f t="shared" si="66"/>
        <v>AGAGACAGGAGCCTTCGGTGCGTCTGAACATGTGGTCCGCAG</v>
      </c>
    </row>
    <row r="302" spans="1:16" x14ac:dyDescent="0.25">
      <c r="A302">
        <v>2077706</v>
      </c>
      <c r="B302" t="s">
        <v>34</v>
      </c>
      <c r="C302" t="s">
        <v>324</v>
      </c>
      <c r="E302">
        <f t="shared" si="58"/>
        <v>6</v>
      </c>
      <c r="F302" t="str">
        <f>(A302&amp;"_"&amp;C302)</f>
        <v>2077706_chr16:2077740-2077741:G&gt;A</v>
      </c>
      <c r="G302" t="s">
        <v>990</v>
      </c>
      <c r="H302" t="s">
        <v>809</v>
      </c>
      <c r="I302" t="s">
        <v>978</v>
      </c>
      <c r="J302" t="s">
        <v>979</v>
      </c>
      <c r="K302" t="str">
        <f t="shared" si="59"/>
        <v>AGAGACAGGAGCCTTCGGTGGTTCTGAACATGTGGTCCGCAGGTAGCGGGACTGTCAGGTGGGGGGCACGGACCCTGGAGCTTGGCCCCGTGAGCACCTGGGTGGCAGTGCATGGGGCTGCTTGCATGACCTCAAGGTAGGAGGATAGGCCAGG</v>
      </c>
      <c r="L302" t="str">
        <f t="shared" si="60"/>
        <v>CGGTG</v>
      </c>
      <c r="M302" t="str">
        <f t="shared" si="61"/>
        <v>TCTGA</v>
      </c>
      <c r="N302">
        <f t="shared" si="62"/>
        <v>154</v>
      </c>
      <c r="O302">
        <f t="shared" si="63"/>
        <v>2</v>
      </c>
      <c r="P302" t="str">
        <f t="shared" si="66"/>
        <v>AGAGACAGGAGCCTTCGGTGGTTCTGAACATGTGGTCCGCAG</v>
      </c>
    </row>
    <row r="303" spans="1:16" x14ac:dyDescent="0.25">
      <c r="A303">
        <v>2077706</v>
      </c>
      <c r="B303" t="s">
        <v>34</v>
      </c>
      <c r="C303" t="s">
        <v>325</v>
      </c>
      <c r="E303">
        <f t="shared" si="58"/>
        <v>6</v>
      </c>
      <c r="F303" t="str">
        <f>(A303&amp;"_"&amp;C303)</f>
        <v>2077706_chr16:2077744-2077745:G&gt;T</v>
      </c>
      <c r="G303" t="s">
        <v>991</v>
      </c>
      <c r="H303" t="s">
        <v>810</v>
      </c>
      <c r="I303" t="s">
        <v>980</v>
      </c>
      <c r="J303" t="s">
        <v>981</v>
      </c>
      <c r="K303" t="str">
        <f t="shared" si="59"/>
        <v>AGAGACAGGAGCCTTCGGTGGATCTGAACATGTGGTCCGCAGGTAGCGGGACTGTCGGGTTGGGGGCACGGACCCTGGAGCTTGGCCCCGTGAGCACCTGGGTGGCAGTGCATGGGGCTGCTTGCATGACCTCAAGGTAGGAGGATAGGCCAGG</v>
      </c>
      <c r="L303" t="str">
        <f t="shared" si="60"/>
        <v>CGGTG</v>
      </c>
      <c r="M303" t="str">
        <f t="shared" si="61"/>
        <v>TCTGA</v>
      </c>
      <c r="N303">
        <f t="shared" si="62"/>
        <v>154</v>
      </c>
      <c r="O303">
        <f t="shared" si="63"/>
        <v>2</v>
      </c>
      <c r="P303" t="str">
        <f t="shared" si="66"/>
        <v>AGAGACAGGAGCCTTCGGTGGATCTGAACATGTGGTCCGCAG</v>
      </c>
    </row>
    <row r="304" spans="1:16" x14ac:dyDescent="0.25">
      <c r="A304">
        <v>2079158</v>
      </c>
      <c r="B304" t="s">
        <v>35</v>
      </c>
      <c r="C304" t="s">
        <v>326</v>
      </c>
      <c r="D304" t="s">
        <v>534</v>
      </c>
      <c r="E304">
        <f t="shared" si="58"/>
        <v>11</v>
      </c>
      <c r="F304" t="str">
        <f>(A304&amp;"_"&amp;D304)</f>
        <v>2079158_wt</v>
      </c>
      <c r="G304" t="s">
        <v>982</v>
      </c>
      <c r="H304" t="s">
        <v>519</v>
      </c>
      <c r="I304" t="s">
        <v>978</v>
      </c>
      <c r="J304" t="s">
        <v>981</v>
      </c>
      <c r="K304" t="str">
        <f t="shared" si="59"/>
        <v>AGAGACAGGAGCCTTCGGTGTACGATACGTCTTCTCCAACTTCACGGCTGTCCCGAAGAGGTCCAGGCGGCACTACAGGGCTGGGCGGGCCTGCGGGAGCTCCACGGGCAAGCTGGGTTTCACGCTCCCTGTCTAGGTAGGAGGATAGGCCAGG</v>
      </c>
      <c r="L304" t="str">
        <f t="shared" si="60"/>
        <v>CGGTG</v>
      </c>
      <c r="M304" t="str">
        <f t="shared" si="61"/>
        <v>CGATA</v>
      </c>
      <c r="N304">
        <f t="shared" si="62"/>
        <v>154</v>
      </c>
      <c r="O304">
        <f t="shared" si="63"/>
        <v>2</v>
      </c>
      <c r="P304" t="str">
        <f t="shared" si="66"/>
        <v>AGAGACAGGAGCCTTCGGTGTACGATACGTCTTCTCCAACTT</v>
      </c>
    </row>
    <row r="305" spans="1:16" x14ac:dyDescent="0.25">
      <c r="A305">
        <v>2079158</v>
      </c>
      <c r="B305" t="s">
        <v>35</v>
      </c>
      <c r="C305" t="s">
        <v>326</v>
      </c>
      <c r="E305">
        <f t="shared" si="58"/>
        <v>11</v>
      </c>
      <c r="F305" t="str">
        <f t="shared" ref="F305:F314" si="68">(A305&amp;"_"&amp;C305)</f>
        <v>2079158_chr16:2079196-2079197:G&gt;A</v>
      </c>
      <c r="G305" t="s">
        <v>983</v>
      </c>
      <c r="H305" t="s">
        <v>811</v>
      </c>
      <c r="I305" t="s">
        <v>978</v>
      </c>
      <c r="J305" t="s">
        <v>979</v>
      </c>
      <c r="K305" t="str">
        <f t="shared" si="59"/>
        <v>AGAGACAGGAGCCTTCGGTGAGCGATACGTCTTCTCCAACTTCACGGCTGTCCCGAAGAGATCCAGGCGGCACTACAGGGCTGGGCGGGCCTGCGGGAGCTCCACGGGCAAGCTGGGTTTCACGCTCCCTGTCTAGGTAGGAGGATAGGCCAGG</v>
      </c>
      <c r="L305" t="str">
        <f t="shared" si="60"/>
        <v>CGGTG</v>
      </c>
      <c r="M305" t="str">
        <f t="shared" si="61"/>
        <v>CGATA</v>
      </c>
      <c r="N305">
        <f t="shared" si="62"/>
        <v>154</v>
      </c>
      <c r="O305">
        <f t="shared" si="63"/>
        <v>2</v>
      </c>
      <c r="P305" t="str">
        <f t="shared" si="66"/>
        <v>AGAGACAGGAGCCTTCGGTGAGCGATACGTCTTCTCCAACTT</v>
      </c>
    </row>
    <row r="306" spans="1:16" x14ac:dyDescent="0.25">
      <c r="A306">
        <v>2079158</v>
      </c>
      <c r="B306" t="s">
        <v>35</v>
      </c>
      <c r="C306" t="s">
        <v>327</v>
      </c>
      <c r="E306">
        <f t="shared" si="58"/>
        <v>11</v>
      </c>
      <c r="F306" t="str">
        <f t="shared" si="68"/>
        <v>2079158_chr16:2079196-2079197:G&gt;C</v>
      </c>
      <c r="G306" t="s">
        <v>984</v>
      </c>
      <c r="H306" t="s">
        <v>812</v>
      </c>
      <c r="I306" t="s">
        <v>978</v>
      </c>
      <c r="J306" t="s">
        <v>979</v>
      </c>
      <c r="K306" t="str">
        <f t="shared" si="59"/>
        <v>AGAGACAGGAGCCTTCGGTGCACGATACGTCTTCTCCAACTTCACGGCTGTCCCGAAGAGCTCCAGGCGGCACTACAGGGCTGGGCGGGCCTGCGGGAGCTCCACGGGCAAGCTGGGTTTCACGCTCCCTGTCTAGGTAGGAGGATAGGCCAGG</v>
      </c>
      <c r="L306" t="str">
        <f t="shared" si="60"/>
        <v>CGGTG</v>
      </c>
      <c r="M306" t="str">
        <f t="shared" si="61"/>
        <v>CGATA</v>
      </c>
      <c r="N306">
        <f t="shared" si="62"/>
        <v>154</v>
      </c>
      <c r="O306">
        <f t="shared" si="63"/>
        <v>2</v>
      </c>
      <c r="P306" t="str">
        <f t="shared" si="66"/>
        <v>AGAGACAGGAGCCTTCGGTGCACGATACGTCTTCTCCAACTT</v>
      </c>
    </row>
    <row r="307" spans="1:16" x14ac:dyDescent="0.25">
      <c r="A307">
        <v>2079158</v>
      </c>
      <c r="B307" t="s">
        <v>35</v>
      </c>
      <c r="C307" t="s">
        <v>328</v>
      </c>
      <c r="E307">
        <f t="shared" si="58"/>
        <v>11</v>
      </c>
      <c r="F307" t="str">
        <f t="shared" si="68"/>
        <v>2079158_chr16:2079197-2079198:T&gt;A</v>
      </c>
      <c r="G307" t="s">
        <v>985</v>
      </c>
      <c r="H307" t="s">
        <v>813</v>
      </c>
      <c r="I307" t="s">
        <v>978</v>
      </c>
      <c r="J307" t="s">
        <v>979</v>
      </c>
      <c r="K307" t="str">
        <f t="shared" si="59"/>
        <v>AGAGACAGGAGCCTTCGGTGATCGATACGTCTTCTCCAACTTCACGGCTGTCCCGAAGAGGACCAGGCGGCACTACAGGGCTGGGCGGGCCTGCGGGAGCTCCACGGGCAAGCTGGGTTTCACGCTCCCTGTCTAGGTAGGAGGATAGGCCAGG</v>
      </c>
      <c r="L307" t="str">
        <f t="shared" si="60"/>
        <v>CGGTG</v>
      </c>
      <c r="M307" t="str">
        <f t="shared" si="61"/>
        <v>CGATA</v>
      </c>
      <c r="N307">
        <f t="shared" si="62"/>
        <v>154</v>
      </c>
      <c r="O307">
        <f t="shared" si="63"/>
        <v>2</v>
      </c>
      <c r="P307" t="str">
        <f t="shared" si="66"/>
        <v>AGAGACAGGAGCCTTCGGTGATCGATACGTCTTCTCCAACTT</v>
      </c>
    </row>
    <row r="308" spans="1:16" x14ac:dyDescent="0.25">
      <c r="A308">
        <v>2079158</v>
      </c>
      <c r="B308" t="s">
        <v>35</v>
      </c>
      <c r="C308" t="s">
        <v>329</v>
      </c>
      <c r="E308">
        <f t="shared" si="58"/>
        <v>11</v>
      </c>
      <c r="F308" t="str">
        <f t="shared" si="68"/>
        <v>2079158_chr16:2079197-2079198:T&gt;C</v>
      </c>
      <c r="G308" t="s">
        <v>1011</v>
      </c>
      <c r="H308" t="s">
        <v>814</v>
      </c>
      <c r="I308" t="s">
        <v>978</v>
      </c>
      <c r="J308" t="s">
        <v>979</v>
      </c>
      <c r="K308" t="str">
        <f t="shared" si="59"/>
        <v>AGAGACAGGAGCCTTCGGTGTGCGATACGTCTTCTCCAACTTCACGGCTGTCCCGAAGAGGCCCAGGCGGCACTACAGGGCTGGGCGGGCCTGCGGGAGCTCCACGGGCAAGCTGGGTTTCACGCTCCCTGTCTAGGTAGGAGGATAGGCCAGG</v>
      </c>
      <c r="L308" t="str">
        <f t="shared" si="60"/>
        <v>CGGTG</v>
      </c>
      <c r="M308" t="str">
        <f t="shared" si="61"/>
        <v>CGATA</v>
      </c>
      <c r="N308">
        <f t="shared" si="62"/>
        <v>154</v>
      </c>
      <c r="O308">
        <f t="shared" si="63"/>
        <v>2</v>
      </c>
      <c r="P308" t="str">
        <f t="shared" si="66"/>
        <v>AGAGACAGGAGCCTTCGGTGTGCGATACGTCTTCTCCAACTT</v>
      </c>
    </row>
    <row r="309" spans="1:16" x14ac:dyDescent="0.25">
      <c r="A309">
        <v>2079158</v>
      </c>
      <c r="B309" t="s">
        <v>35</v>
      </c>
      <c r="C309" t="s">
        <v>330</v>
      </c>
      <c r="E309">
        <f t="shared" si="58"/>
        <v>11</v>
      </c>
      <c r="F309" t="str">
        <f t="shared" si="68"/>
        <v>2079158_chr16:2079198-2079199:C&gt;A</v>
      </c>
      <c r="G309" s="4" t="s">
        <v>1049</v>
      </c>
      <c r="H309" t="s">
        <v>815</v>
      </c>
      <c r="I309" t="s">
        <v>978</v>
      </c>
      <c r="J309" t="s">
        <v>979</v>
      </c>
      <c r="K309" t="str">
        <f t="shared" si="59"/>
        <v>AGAGACAGGAGCCTTCGGTGTCCGATACGTCTTCTCCAACTTCACGGCTGTCCCGAAGAGGTACAGGCGGCACTACAGGGCTGGGCGGGCCTGCGGGAGCTCCACGGGCAAGCTGGGTTTCACGCTCCCTGTCTAGGTAGGAGGATAGGCCAGG</v>
      </c>
      <c r="L309" t="str">
        <f t="shared" si="60"/>
        <v>CGGTG</v>
      </c>
      <c r="M309" t="str">
        <f t="shared" si="61"/>
        <v>CGATA</v>
      </c>
      <c r="N309">
        <f t="shared" si="62"/>
        <v>154</v>
      </c>
      <c r="O309">
        <f t="shared" si="63"/>
        <v>2</v>
      </c>
      <c r="P309" t="str">
        <f t="shared" si="66"/>
        <v>AGAGACAGGAGCCTTCGGTGTCCGATACGTCTTCTCCAACTT</v>
      </c>
    </row>
    <row r="310" spans="1:16" x14ac:dyDescent="0.25">
      <c r="A310">
        <v>2079158</v>
      </c>
      <c r="B310" t="s">
        <v>35</v>
      </c>
      <c r="C310" t="s">
        <v>331</v>
      </c>
      <c r="E310">
        <f t="shared" si="58"/>
        <v>11</v>
      </c>
      <c r="F310" t="str">
        <f t="shared" si="68"/>
        <v>2079158_chr16:2079203-2079204:C&gt;A</v>
      </c>
      <c r="G310" t="s">
        <v>987</v>
      </c>
      <c r="H310" t="s">
        <v>816</v>
      </c>
      <c r="I310" t="s">
        <v>978</v>
      </c>
      <c r="J310" t="s">
        <v>979</v>
      </c>
      <c r="K310" t="str">
        <f t="shared" si="59"/>
        <v>AGAGACAGGAGCCTTCGGTGGCCGATACGTCTTCTCCAACTTCACGGCTGTCCCGAAGAGGTCCAGGAGGCACTACAGGGCTGGGCGGGCCTGCGGGAGCTCCACGGGCAAGCTGGGTTTCACGCTCCCTGTCTAGGTAGGAGGATAGGCCAGG</v>
      </c>
      <c r="L310" t="str">
        <f t="shared" si="60"/>
        <v>CGGTG</v>
      </c>
      <c r="M310" t="str">
        <f t="shared" si="61"/>
        <v>CGATA</v>
      </c>
      <c r="N310">
        <f t="shared" si="62"/>
        <v>154</v>
      </c>
      <c r="O310">
        <f t="shared" si="63"/>
        <v>2</v>
      </c>
      <c r="P310" t="str">
        <f t="shared" si="66"/>
        <v>AGAGACAGGAGCCTTCGGTGGCCGATACGTCTTCTCCAACTT</v>
      </c>
    </row>
    <row r="311" spans="1:16" x14ac:dyDescent="0.25">
      <c r="A311">
        <v>2079158</v>
      </c>
      <c r="B311" t="s">
        <v>35</v>
      </c>
      <c r="C311" t="s">
        <v>332</v>
      </c>
      <c r="E311">
        <f t="shared" si="58"/>
        <v>11</v>
      </c>
      <c r="F311" t="str">
        <f t="shared" si="68"/>
        <v>2079158_chr16:2079203-2079204:C&gt;T</v>
      </c>
      <c r="G311" t="s">
        <v>988</v>
      </c>
      <c r="H311" t="s">
        <v>817</v>
      </c>
      <c r="I311" t="s">
        <v>978</v>
      </c>
      <c r="J311" t="s">
        <v>979</v>
      </c>
      <c r="K311" t="str">
        <f t="shared" si="59"/>
        <v>AGAGACAGGAGCCTTCGGTGACCGATACGTCTTCTCCAACTTCACGGCTGTCCCGAAGAGGTCCAGGTGGCACTACAGGGCTGGGCGGGCCTGCGGGAGCTCCACGGGCAAGCTGGGTTTCACGCTCCCTGTCTAGGTAGGAGGATAGGCCAGG</v>
      </c>
      <c r="L311" t="str">
        <f t="shared" si="60"/>
        <v>CGGTG</v>
      </c>
      <c r="M311" t="str">
        <f t="shared" si="61"/>
        <v>CGATA</v>
      </c>
      <c r="N311">
        <f t="shared" si="62"/>
        <v>154</v>
      </c>
      <c r="O311">
        <f t="shared" si="63"/>
        <v>2</v>
      </c>
      <c r="P311" t="str">
        <f t="shared" si="66"/>
        <v>AGAGACAGGAGCCTTCGGTGACCGATACGTCTTCTCCAACTT</v>
      </c>
    </row>
    <row r="312" spans="1:16" x14ac:dyDescent="0.25">
      <c r="A312">
        <v>2079158</v>
      </c>
      <c r="B312" t="s">
        <v>35</v>
      </c>
      <c r="C312" t="s">
        <v>333</v>
      </c>
      <c r="E312">
        <f t="shared" si="58"/>
        <v>11</v>
      </c>
      <c r="F312" t="str">
        <f t="shared" si="68"/>
        <v>2079158_chr16:2079204-2079205:G&gt;A</v>
      </c>
      <c r="G312" t="s">
        <v>989</v>
      </c>
      <c r="H312" t="s">
        <v>818</v>
      </c>
      <c r="I312" t="s">
        <v>978</v>
      </c>
      <c r="J312" t="s">
        <v>979</v>
      </c>
      <c r="K312" t="str">
        <f t="shared" si="59"/>
        <v>AGAGACAGGAGCCTTCGGTGCGCGATACGTCTTCTCCAACTTCACGGCTGTCCCGAAGAGGTCCAGGCAGCACTACAGGGCTGGGCGGGCCTGCGGGAGCTCCACGGGCAAGCTGGGTTTCACGCTCCCTGTCTAGGTAGGAGGATAGGCCAGG</v>
      </c>
      <c r="L312" t="str">
        <f t="shared" si="60"/>
        <v>CGGTG</v>
      </c>
      <c r="M312" t="str">
        <f t="shared" si="61"/>
        <v>CGATA</v>
      </c>
      <c r="N312">
        <f t="shared" si="62"/>
        <v>154</v>
      </c>
      <c r="O312">
        <f t="shared" si="63"/>
        <v>2</v>
      </c>
      <c r="P312" t="str">
        <f t="shared" si="66"/>
        <v>AGAGACAGGAGCCTTCGGTGCGCGATACGTCTTCTCCAACTT</v>
      </c>
    </row>
    <row r="313" spans="1:16" x14ac:dyDescent="0.25">
      <c r="A313">
        <v>2079158</v>
      </c>
      <c r="B313" t="s">
        <v>35</v>
      </c>
      <c r="C313" t="s">
        <v>334</v>
      </c>
      <c r="E313">
        <f t="shared" si="58"/>
        <v>11</v>
      </c>
      <c r="F313" t="str">
        <f t="shared" si="68"/>
        <v>2079158_chr16:2079204-2079205:G&gt;T</v>
      </c>
      <c r="G313" t="s">
        <v>990</v>
      </c>
      <c r="H313" t="s">
        <v>819</v>
      </c>
      <c r="I313" t="s">
        <v>978</v>
      </c>
      <c r="J313" t="s">
        <v>979</v>
      </c>
      <c r="K313" t="str">
        <f t="shared" si="59"/>
        <v>AGAGACAGGAGCCTTCGGTGGTCGATACGTCTTCTCCAACTTCACGGCTGTCCCGAAGAGGTCCAGGCTGCACTACAGGGCTGGGCGGGCCTGCGGGAGCTCCACGGGCAAGCTGGGTTTCACGCTCCCTGTCTAGGTAGGAGGATAGGCCAGG</v>
      </c>
      <c r="L313" t="str">
        <f t="shared" si="60"/>
        <v>CGGTG</v>
      </c>
      <c r="M313" t="str">
        <f t="shared" si="61"/>
        <v>CGATA</v>
      </c>
      <c r="N313">
        <f t="shared" si="62"/>
        <v>154</v>
      </c>
      <c r="O313">
        <f t="shared" si="63"/>
        <v>2</v>
      </c>
      <c r="P313" t="str">
        <f t="shared" si="66"/>
        <v>AGAGACAGGAGCCTTCGGTGGTCGATACGTCTTCTCCAACTT</v>
      </c>
    </row>
    <row r="314" spans="1:16" x14ac:dyDescent="0.25">
      <c r="A314">
        <v>2079158</v>
      </c>
      <c r="B314" t="s">
        <v>35</v>
      </c>
      <c r="C314" t="s">
        <v>335</v>
      </c>
      <c r="E314">
        <f t="shared" si="58"/>
        <v>11</v>
      </c>
      <c r="F314" t="str">
        <f t="shared" si="68"/>
        <v>2079158_chr16:2079229-2079230:C&gt;T</v>
      </c>
      <c r="G314" t="s">
        <v>991</v>
      </c>
      <c r="H314" t="s">
        <v>820</v>
      </c>
      <c r="I314" t="s">
        <v>978</v>
      </c>
      <c r="J314" t="s">
        <v>979</v>
      </c>
      <c r="K314" t="str">
        <f t="shared" si="59"/>
        <v>AGAGACAGGAGCCTTCGGTGGACGATACGTCTTCTCCAACTTCACGGCTGTCCCGAAGAGGTCCAGGCGGCACTACAGGGCTGGGCGGGCCTGTGGGAGCTCCACGGGCAAGCTGGGTTTCACGCTCCCTGTCTAGGTAGGAGGATAGGCCAGG</v>
      </c>
      <c r="L314" t="str">
        <f t="shared" si="60"/>
        <v>CGGTG</v>
      </c>
      <c r="M314" t="str">
        <f t="shared" si="61"/>
        <v>CGATA</v>
      </c>
      <c r="N314">
        <f t="shared" si="62"/>
        <v>154</v>
      </c>
      <c r="O314">
        <f t="shared" si="63"/>
        <v>2</v>
      </c>
      <c r="P314" t="str">
        <f t="shared" si="66"/>
        <v>AGAGACAGGAGCCTTCGGTGGACGATACGTCTTCTCCAACTT</v>
      </c>
    </row>
    <row r="315" spans="1:16" x14ac:dyDescent="0.25">
      <c r="A315">
        <v>2079408</v>
      </c>
      <c r="B315" t="s">
        <v>36</v>
      </c>
      <c r="C315" t="s">
        <v>336</v>
      </c>
      <c r="D315" t="s">
        <v>534</v>
      </c>
      <c r="E315">
        <f t="shared" si="58"/>
        <v>11</v>
      </c>
      <c r="F315" t="str">
        <f>(A315&amp;"_"&amp;D315)</f>
        <v>2079408_wt</v>
      </c>
      <c r="G315" t="s">
        <v>983</v>
      </c>
      <c r="H315" t="s">
        <v>520</v>
      </c>
      <c r="I315" t="s">
        <v>978</v>
      </c>
      <c r="J315" t="s">
        <v>981</v>
      </c>
      <c r="K315" t="str">
        <f t="shared" si="59"/>
        <v>AGAGACAGGAGCCTTCGGTGAGCAGTCCGGCCCGGAGTCGAGGTGACTGCACCTTCCTTTCCTCCGCGCCTGCCAGCCTCGACACCGGCTGTCCCGAGCCCAGGCCCACGTGGCACCCTCGTACCAGCCTGGGGAGGTAGGAGGATAGGCCAGG</v>
      </c>
      <c r="L315" t="str">
        <f t="shared" si="60"/>
        <v>CGGTG</v>
      </c>
      <c r="M315" t="str">
        <f t="shared" si="61"/>
        <v>CAGTC</v>
      </c>
      <c r="N315">
        <f t="shared" si="62"/>
        <v>154</v>
      </c>
      <c r="O315">
        <f t="shared" si="63"/>
        <v>2</v>
      </c>
      <c r="P315" t="str">
        <f t="shared" si="66"/>
        <v>AGAGACAGGAGCCTTCGGTGAGCAGTCCGGCCCGGAGTCGAG</v>
      </c>
    </row>
    <row r="316" spans="1:16" x14ac:dyDescent="0.25">
      <c r="A316">
        <v>2079408</v>
      </c>
      <c r="B316" t="s">
        <v>36</v>
      </c>
      <c r="C316" t="s">
        <v>336</v>
      </c>
      <c r="E316">
        <f t="shared" si="58"/>
        <v>11</v>
      </c>
      <c r="F316" t="str">
        <f t="shared" ref="F316:F325" si="69">(A316&amp;"_"&amp;C316)</f>
        <v>2079408_chr16:2079428-2079429:G&gt;-</v>
      </c>
      <c r="G316" t="s">
        <v>984</v>
      </c>
      <c r="H316" t="s">
        <v>821</v>
      </c>
      <c r="I316" t="s">
        <v>978</v>
      </c>
      <c r="J316" t="s">
        <v>979</v>
      </c>
      <c r="K316" t="str">
        <f t="shared" si="59"/>
        <v>AGAGACAGGAGCCTTCGGTGCACAGTCCGGCCCGGAGTCGAGTGACTGCACCTTCCTTTCCTCCGCGCCTGCCAGCCTCGACACCGGCTGTCCCGAGCCCAGGCCCACGTGGCACCCTCGTACCAGCCTGGGGAGGTAGGAGGATAGGCCAGG</v>
      </c>
      <c r="L316" t="str">
        <f t="shared" si="60"/>
        <v>CGGTG</v>
      </c>
      <c r="M316" t="str">
        <f t="shared" si="61"/>
        <v>CAGTC</v>
      </c>
      <c r="N316">
        <f t="shared" si="62"/>
        <v>153</v>
      </c>
      <c r="O316">
        <f t="shared" si="63"/>
        <v>2</v>
      </c>
      <c r="P316" t="str">
        <f t="shared" si="66"/>
        <v>AGAGACAGGAGCCTTCGGTGCACAGTCCGGCCCGGAGTCGAG</v>
      </c>
    </row>
    <row r="317" spans="1:16" x14ac:dyDescent="0.25">
      <c r="A317">
        <v>2079408</v>
      </c>
      <c r="B317" t="s">
        <v>36</v>
      </c>
      <c r="C317" t="s">
        <v>337</v>
      </c>
      <c r="E317">
        <f t="shared" si="58"/>
        <v>11</v>
      </c>
      <c r="F317" t="str">
        <f t="shared" si="69"/>
        <v>2079408_chr16:2079428-2079429:G&gt;A</v>
      </c>
      <c r="G317" t="s">
        <v>985</v>
      </c>
      <c r="H317" t="s">
        <v>822</v>
      </c>
      <c r="I317" t="s">
        <v>978</v>
      </c>
      <c r="J317" t="s">
        <v>979</v>
      </c>
      <c r="K317" t="str">
        <f t="shared" si="59"/>
        <v>AGAGACAGGAGCCTTCGGTGATCAGTCCGGCCCGGAGTCGAGATGACTGCACCTTCCTTTCCTCCGCGCCTGCCAGCCTCGACACCGGCTGTCCCGAGCCCAGGCCCACGTGGCACCCTCGTACCAGCCTGGGGAGGTAGGAGGATAGGCCAGG</v>
      </c>
      <c r="L317" t="str">
        <f t="shared" si="60"/>
        <v>CGGTG</v>
      </c>
      <c r="M317" t="str">
        <f t="shared" si="61"/>
        <v>CAGTC</v>
      </c>
      <c r="N317">
        <f t="shared" si="62"/>
        <v>154</v>
      </c>
      <c r="O317">
        <f t="shared" si="63"/>
        <v>2</v>
      </c>
      <c r="P317" t="str">
        <f t="shared" si="66"/>
        <v>AGAGACAGGAGCCTTCGGTGATCAGTCCGGCCCGGAGTCGAG</v>
      </c>
    </row>
    <row r="318" spans="1:16" x14ac:dyDescent="0.25">
      <c r="A318">
        <v>2079408</v>
      </c>
      <c r="B318" t="s">
        <v>36</v>
      </c>
      <c r="C318" t="s">
        <v>338</v>
      </c>
      <c r="E318">
        <f t="shared" si="58"/>
        <v>11</v>
      </c>
      <c r="F318" t="str">
        <f t="shared" si="69"/>
        <v>2079408_chr16:2079428-2079429:G&gt;C</v>
      </c>
      <c r="G318" t="s">
        <v>1011</v>
      </c>
      <c r="H318" t="s">
        <v>823</v>
      </c>
      <c r="I318" t="s">
        <v>980</v>
      </c>
      <c r="J318" t="s">
        <v>979</v>
      </c>
      <c r="K318" t="str">
        <f t="shared" si="59"/>
        <v>AGAGACAGGAGCCTTCGGTGTGCAGTCCGGCCCGGAGTCGAGCTGACTGCACCTTCCTTTCCTCCGCGCCTGCCAGCCTCGACACCGGCTGTCCCGAGCCCAGGCCCACGTGGCACCCTCGTACCAGCCTGGGGAGGTAGGAGGATAGGCCAGG</v>
      </c>
      <c r="L318" t="str">
        <f t="shared" si="60"/>
        <v>CGGTG</v>
      </c>
      <c r="M318" t="str">
        <f t="shared" si="61"/>
        <v>CAGTC</v>
      </c>
      <c r="N318">
        <f t="shared" si="62"/>
        <v>154</v>
      </c>
      <c r="O318">
        <f t="shared" si="63"/>
        <v>2</v>
      </c>
      <c r="P318" t="str">
        <f t="shared" si="66"/>
        <v>AGAGACAGGAGCCTTCGGTGTGCAGTCCGGCCCGGAGTCGAG</v>
      </c>
    </row>
    <row r="319" spans="1:16" x14ac:dyDescent="0.25">
      <c r="A319">
        <v>2079408</v>
      </c>
      <c r="B319" t="s">
        <v>36</v>
      </c>
      <c r="C319" t="s">
        <v>339</v>
      </c>
      <c r="E319">
        <f t="shared" si="58"/>
        <v>11</v>
      </c>
      <c r="F319" t="str">
        <f t="shared" si="69"/>
        <v>2079408_chr16:2079428-2079429:G&gt;T</v>
      </c>
      <c r="G319" s="4" t="s">
        <v>1052</v>
      </c>
      <c r="H319" t="s">
        <v>824</v>
      </c>
      <c r="I319" t="s">
        <v>978</v>
      </c>
      <c r="J319" t="s">
        <v>979</v>
      </c>
      <c r="K319" t="str">
        <f t="shared" si="59"/>
        <v>AGAGACAGGAGCCTTCGGTGTACAGTCCGGCCCGGAGTCGAGTTGACTGCACCTTCCTTTCCTCCGCGCCTGCCAGCCTCGACACCGGCTGTCCCGAGCCCAGGCCCACGTGGCACCCTCGTACCAGCCTGGGGAGGTAGGAGGATAGGCCAGG</v>
      </c>
      <c r="L319" t="str">
        <f t="shared" si="60"/>
        <v>CGGTG</v>
      </c>
      <c r="M319" t="str">
        <f t="shared" si="61"/>
        <v>CAGTC</v>
      </c>
      <c r="N319">
        <f t="shared" si="62"/>
        <v>154</v>
      </c>
      <c r="O319">
        <f t="shared" si="63"/>
        <v>2</v>
      </c>
      <c r="P319" t="str">
        <f t="shared" si="66"/>
        <v>AGAGACAGGAGCCTTCGGTGTACAGTCCGGCCCGGAGTCGAG</v>
      </c>
    </row>
    <row r="320" spans="1:16" x14ac:dyDescent="0.25">
      <c r="A320">
        <v>2079408</v>
      </c>
      <c r="B320" t="s">
        <v>36</v>
      </c>
      <c r="C320" t="s">
        <v>340</v>
      </c>
      <c r="E320">
        <f t="shared" si="58"/>
        <v>11</v>
      </c>
      <c r="F320" t="str">
        <f t="shared" si="69"/>
        <v>2079408_chr16:2079431-2079431:-&gt;A</v>
      </c>
      <c r="G320" t="s">
        <v>987</v>
      </c>
      <c r="H320" t="s">
        <v>825</v>
      </c>
      <c r="I320" t="s">
        <v>980</v>
      </c>
      <c r="J320" t="s">
        <v>981</v>
      </c>
      <c r="K320" t="str">
        <f t="shared" si="59"/>
        <v>AGAGACAGGAGCCTTCGGTGGCCAGTCCGGCCCGGAGTCGAGGTGAACTGCACCTTCCTTTCCTCCGCGCCTGCCAGCCTCGACACCGGCTGTCCCGAGCCCAGGCCCACGTGGCACCCTCGTACCAGCCTGGGGAGGTAGGAGGATAGGCCAGG</v>
      </c>
      <c r="L320" t="str">
        <f t="shared" si="60"/>
        <v>CGGTG</v>
      </c>
      <c r="M320" t="str">
        <f t="shared" si="61"/>
        <v>CAGTC</v>
      </c>
      <c r="N320">
        <f t="shared" si="62"/>
        <v>155</v>
      </c>
      <c r="O320">
        <f t="shared" si="63"/>
        <v>2</v>
      </c>
      <c r="P320" t="str">
        <f t="shared" si="66"/>
        <v>AGAGACAGGAGCCTTCGGTGGCCAGTCCGGCCCGGAGTCGAG</v>
      </c>
    </row>
    <row r="321" spans="1:16" x14ac:dyDescent="0.25">
      <c r="A321">
        <v>2079408</v>
      </c>
      <c r="B321" t="s">
        <v>36</v>
      </c>
      <c r="C321" t="s">
        <v>341</v>
      </c>
      <c r="E321">
        <f t="shared" si="58"/>
        <v>11</v>
      </c>
      <c r="F321" t="str">
        <f t="shared" si="69"/>
        <v>2079408_chr16:2079432-2079433:C&gt;A</v>
      </c>
      <c r="G321" t="s">
        <v>988</v>
      </c>
      <c r="H321" t="s">
        <v>826</v>
      </c>
      <c r="I321" t="s">
        <v>978</v>
      </c>
      <c r="J321" t="s">
        <v>979</v>
      </c>
      <c r="K321" t="str">
        <f t="shared" si="59"/>
        <v>AGAGACAGGAGCCTTCGGTGACCAGTCCGGCCCGGAGTCGAGGTGAATGCACCTTCCTTTCCTCCGCGCCTGCCAGCCTCGACACCGGCTGTCCCGAGCCCAGGCCCACGTGGCACCCTCGTACCAGCCTGGGGAGGTAGGAGGATAGGCCAGG</v>
      </c>
      <c r="L321" t="str">
        <f t="shared" si="60"/>
        <v>CGGTG</v>
      </c>
      <c r="M321" t="str">
        <f t="shared" si="61"/>
        <v>CAGTC</v>
      </c>
      <c r="N321">
        <f t="shared" si="62"/>
        <v>154</v>
      </c>
      <c r="O321">
        <f t="shared" si="63"/>
        <v>2</v>
      </c>
      <c r="P321" t="str">
        <f t="shared" si="66"/>
        <v>AGAGACAGGAGCCTTCGGTGACCAGTCCGGCCCGGAGTCGAG</v>
      </c>
    </row>
    <row r="322" spans="1:16" x14ac:dyDescent="0.25">
      <c r="A322">
        <v>2079408</v>
      </c>
      <c r="B322" t="s">
        <v>36</v>
      </c>
      <c r="C322" t="s">
        <v>342</v>
      </c>
      <c r="E322">
        <f t="shared" ref="E322:E385" si="70">COUNTIF(A:A,A322)</f>
        <v>11</v>
      </c>
      <c r="F322" t="str">
        <f t="shared" si="69"/>
        <v>2079408_chr16:2079433-2079434:T&gt;G</v>
      </c>
      <c r="G322" t="s">
        <v>989</v>
      </c>
      <c r="H322" t="s">
        <v>827</v>
      </c>
      <c r="I322" t="s">
        <v>978</v>
      </c>
      <c r="J322" t="s">
        <v>979</v>
      </c>
      <c r="K322" t="str">
        <f t="shared" ref="K322:K385" si="71">(I322&amp;G322&amp;H322&amp;J322)</f>
        <v>AGAGACAGGAGCCTTCGGTGCGCAGTCCGGCCCGGAGTCGAGGTGACGGCACCTTCCTTTCCTCCGCGCCTGCCAGCCTCGACACCGGCTGTCCCGAGCCCAGGCCCACGTGGCACCCTCGTACCAGCCTGGGGAGGTAGGAGGATAGGCCAGG</v>
      </c>
      <c r="L322" t="str">
        <f t="shared" ref="L322:L385" si="72">RIGHT(I322,5)</f>
        <v>CGGTG</v>
      </c>
      <c r="M322" t="str">
        <f t="shared" ref="M322:M385" si="73">LEFT(H322,5)</f>
        <v>CAGTC</v>
      </c>
      <c r="N322">
        <f t="shared" ref="N322:N385" si="74">LEN(K322)</f>
        <v>154</v>
      </c>
      <c r="O322">
        <f t="shared" si="63"/>
        <v>2</v>
      </c>
      <c r="P322" t="str">
        <f t="shared" si="66"/>
        <v>AGAGACAGGAGCCTTCGGTGCGCAGTCCGGCCCGGAGTCGAG</v>
      </c>
    </row>
    <row r="323" spans="1:16" x14ac:dyDescent="0.25">
      <c r="A323">
        <v>2079408</v>
      </c>
      <c r="B323" t="s">
        <v>36</v>
      </c>
      <c r="C323" t="s">
        <v>343</v>
      </c>
      <c r="E323">
        <f t="shared" si="70"/>
        <v>11</v>
      </c>
      <c r="F323" t="str">
        <f t="shared" si="69"/>
        <v>2079408_chr16:2079437-2079438:C&gt;T</v>
      </c>
      <c r="G323" t="s">
        <v>990</v>
      </c>
      <c r="H323" t="s">
        <v>828</v>
      </c>
      <c r="I323" t="s">
        <v>978</v>
      </c>
      <c r="J323" t="s">
        <v>979</v>
      </c>
      <c r="K323" t="str">
        <f t="shared" si="71"/>
        <v>AGAGACAGGAGCCTTCGGTGGTCAGTCCGGCCCGGAGTCGAGGTGACTGCATCTTCCTTTCCTCCGCGCCTGCCAGCCTCGACACCGGCTGTCCCGAGCCCAGGCCCACGTGGCACCCTCGTACCAGCCTGGGGAGGTAGGAGGATAGGCCAGG</v>
      </c>
      <c r="L323" t="str">
        <f t="shared" si="72"/>
        <v>CGGTG</v>
      </c>
      <c r="M323" t="str">
        <f t="shared" si="73"/>
        <v>CAGTC</v>
      </c>
      <c r="N323">
        <f t="shared" si="74"/>
        <v>154</v>
      </c>
      <c r="O323">
        <f t="shared" ref="O323:O386" si="75">LEN(G323)</f>
        <v>2</v>
      </c>
      <c r="P323" t="str">
        <f t="shared" si="66"/>
        <v>AGAGACAGGAGCCTTCGGTGGTCAGTCCGGCCCGGAGTCGAG</v>
      </c>
    </row>
    <row r="324" spans="1:16" x14ac:dyDescent="0.25">
      <c r="A324">
        <v>2079408</v>
      </c>
      <c r="B324" t="s">
        <v>36</v>
      </c>
      <c r="C324" t="s">
        <v>344</v>
      </c>
      <c r="E324">
        <f t="shared" si="70"/>
        <v>11</v>
      </c>
      <c r="F324" t="str">
        <f t="shared" si="69"/>
        <v>2079408_chr16:2079447-2079448:C&gt;T</v>
      </c>
      <c r="G324" t="s">
        <v>991</v>
      </c>
      <c r="H324" t="s">
        <v>829</v>
      </c>
      <c r="I324" t="s">
        <v>978</v>
      </c>
      <c r="J324" t="s">
        <v>979</v>
      </c>
      <c r="K324" t="str">
        <f t="shared" si="71"/>
        <v>AGAGACAGGAGCCTTCGGTGGACAGTCCGGCCCGGAGTCGAGGTGACTGCACCTTCCTTTCTTCCGCGCCTGCCAGCCTCGACACCGGCTGTCCCGAGCCCAGGCCCACGTGGCACCCTCGTACCAGCCTGGGGAGGTAGGAGGATAGGCCAGG</v>
      </c>
      <c r="L324" t="str">
        <f t="shared" si="72"/>
        <v>CGGTG</v>
      </c>
      <c r="M324" t="str">
        <f t="shared" si="73"/>
        <v>CAGTC</v>
      </c>
      <c r="N324">
        <f t="shared" si="74"/>
        <v>154</v>
      </c>
      <c r="O324">
        <f t="shared" si="75"/>
        <v>2</v>
      </c>
      <c r="P324" t="str">
        <f t="shared" si="66"/>
        <v>AGAGACAGGAGCCTTCGGTGGACAGTCCGGCCCGGAGTCGAG</v>
      </c>
    </row>
    <row r="325" spans="1:16" x14ac:dyDescent="0.25">
      <c r="A325">
        <v>2079408</v>
      </c>
      <c r="B325" t="s">
        <v>36</v>
      </c>
      <c r="C325" t="s">
        <v>345</v>
      </c>
      <c r="E325">
        <f t="shared" si="70"/>
        <v>11</v>
      </c>
      <c r="F325" t="str">
        <f t="shared" si="69"/>
        <v>2079408_chr16:2079472-2079473:G&gt;A</v>
      </c>
      <c r="G325" t="s">
        <v>992</v>
      </c>
      <c r="H325" t="s">
        <v>830</v>
      </c>
      <c r="I325" t="s">
        <v>978</v>
      </c>
      <c r="J325" t="s">
        <v>979</v>
      </c>
      <c r="K325" t="str">
        <f t="shared" si="71"/>
        <v>AGAGACAGGAGCCTTCGGTGTCCAGTCCGGCCCGGAGTCGAGGTGACTGCACCTTCCTTTCCTCCGCGCCTGCCAGCCTCGACACCAGCTGTCCCGAGCCCAGGCCCACGTGGCACCCTCGTACCAGCCTGGGGAGGTAGGAGGATAGGCCAGG</v>
      </c>
      <c r="L325" t="str">
        <f t="shared" si="72"/>
        <v>CGGTG</v>
      </c>
      <c r="M325" t="str">
        <f t="shared" si="73"/>
        <v>CAGTC</v>
      </c>
      <c r="N325">
        <f t="shared" si="74"/>
        <v>154</v>
      </c>
      <c r="O325">
        <f t="shared" si="75"/>
        <v>2</v>
      </c>
      <c r="P325" t="str">
        <f t="shared" si="66"/>
        <v>AGAGACAGGAGCCTTCGGTGTCCAGTCCGGCCCGGAGTCGAG</v>
      </c>
    </row>
    <row r="326" spans="1:16" x14ac:dyDescent="0.25">
      <c r="A326">
        <v>2079649</v>
      </c>
      <c r="B326" t="s">
        <v>37</v>
      </c>
      <c r="C326" t="s">
        <v>346</v>
      </c>
      <c r="D326" t="s">
        <v>534</v>
      </c>
      <c r="E326">
        <f t="shared" si="70"/>
        <v>8</v>
      </c>
      <c r="F326" t="str">
        <f>(A326&amp;"_"&amp;D326)</f>
        <v>2079649_wt</v>
      </c>
      <c r="G326" t="s">
        <v>984</v>
      </c>
      <c r="H326" t="s">
        <v>521</v>
      </c>
      <c r="I326" t="s">
        <v>978</v>
      </c>
      <c r="J326" t="s">
        <v>981</v>
      </c>
      <c r="K326" t="str">
        <f t="shared" si="71"/>
        <v>AGAGACAGGAGCCTTCGGTGCATCGGGTCCGTTCCATGTCGGGTGAGCCTTGGCCCCAGCCACCTCCACACAGGCACCGGGGCTCCCTCAGTTGCTGCTGGTCCCAGTGTTCAGGAAGGCCCCGAGCCCAGGGGAGGTAGGAGGATAGGCCAGG</v>
      </c>
      <c r="L326" t="str">
        <f t="shared" si="72"/>
        <v>CGGTG</v>
      </c>
      <c r="M326" t="str">
        <f t="shared" si="73"/>
        <v>TCGGG</v>
      </c>
      <c r="N326">
        <f t="shared" si="74"/>
        <v>154</v>
      </c>
      <c r="O326">
        <f t="shared" si="75"/>
        <v>2</v>
      </c>
      <c r="P326" t="str">
        <f t="shared" si="66"/>
        <v>AGAGACAGGAGCCTTCGGTGCATCGGGTCCGTTCCATGTCGG</v>
      </c>
    </row>
    <row r="327" spans="1:16" x14ac:dyDescent="0.25">
      <c r="A327">
        <v>2079649</v>
      </c>
      <c r="B327" t="s">
        <v>37</v>
      </c>
      <c r="C327" t="s">
        <v>346</v>
      </c>
      <c r="E327">
        <f t="shared" si="70"/>
        <v>8</v>
      </c>
      <c r="F327" t="str">
        <f t="shared" ref="F327:F333" si="76">(A327&amp;"_"&amp;C327)</f>
        <v>2079649_chr16:2079669-2079670:G&gt;-</v>
      </c>
      <c r="G327" t="s">
        <v>985</v>
      </c>
      <c r="H327" t="s">
        <v>831</v>
      </c>
      <c r="I327" t="s">
        <v>978</v>
      </c>
      <c r="J327" t="s">
        <v>979</v>
      </c>
      <c r="K327" t="str">
        <f t="shared" si="71"/>
        <v>AGAGACAGGAGCCTTCGGTGATTCGGGTCCGTTCCATGTCGGTGAGCCTTGGCCCCAGCCACCTCCACACAGGCACCGGGGCTCCCTCAGTTGCTGCTGGTCCCAGTGTTCAGGAAGGCCCCGAGCCCAGGGGAGGTAGGAGGATAGGCCAGG</v>
      </c>
      <c r="L327" t="str">
        <f t="shared" si="72"/>
        <v>CGGTG</v>
      </c>
      <c r="M327" t="str">
        <f t="shared" si="73"/>
        <v>TCGGG</v>
      </c>
      <c r="N327">
        <f t="shared" si="74"/>
        <v>153</v>
      </c>
      <c r="O327">
        <f t="shared" si="75"/>
        <v>2</v>
      </c>
      <c r="P327" t="str">
        <f t="shared" si="66"/>
        <v>AGAGACAGGAGCCTTCGGTGATTCGGGTCCGTTCCATGTCGG</v>
      </c>
    </row>
    <row r="328" spans="1:16" x14ac:dyDescent="0.25">
      <c r="A328">
        <v>2079649</v>
      </c>
      <c r="B328" t="s">
        <v>37</v>
      </c>
      <c r="C328" t="s">
        <v>347</v>
      </c>
      <c r="E328">
        <f t="shared" si="70"/>
        <v>8</v>
      </c>
      <c r="F328" t="str">
        <f t="shared" si="76"/>
        <v>2079649_chr16:2079669-2079670:G&gt;A</v>
      </c>
      <c r="G328" t="s">
        <v>1039</v>
      </c>
      <c r="H328" t="s">
        <v>832</v>
      </c>
      <c r="I328" t="s">
        <v>978</v>
      </c>
      <c r="J328" t="s">
        <v>979</v>
      </c>
      <c r="K328" t="str">
        <f t="shared" si="71"/>
        <v>AGAGACAGGAGCCTTCGGTGTGTCGGGTCCGTTCCATGTCGGATGAGCCTTGGCCCCAGCCACCTCCACACAGGCACCGGGGCTCCCTCAGTTGCTGCTGGTCCCAGTGTTCAGGAAGGCCCCGAGCCCAGGGGAGGTAGGAGGATAGGCCAGG</v>
      </c>
      <c r="L328" t="str">
        <f t="shared" si="72"/>
        <v>CGGTG</v>
      </c>
      <c r="M328" t="str">
        <f t="shared" si="73"/>
        <v>TCGGG</v>
      </c>
      <c r="N328">
        <f t="shared" si="74"/>
        <v>154</v>
      </c>
      <c r="O328">
        <f t="shared" si="75"/>
        <v>2</v>
      </c>
      <c r="P328" t="str">
        <f t="shared" si="66"/>
        <v>AGAGACAGGAGCCTTCGGTGTGTCGGGTCCGTTCCATGTCGG</v>
      </c>
    </row>
    <row r="329" spans="1:16" x14ac:dyDescent="0.25">
      <c r="A329">
        <v>2079649</v>
      </c>
      <c r="B329" t="s">
        <v>37</v>
      </c>
      <c r="C329" t="s">
        <v>348</v>
      </c>
      <c r="E329">
        <f t="shared" si="70"/>
        <v>8</v>
      </c>
      <c r="F329" t="str">
        <f t="shared" si="76"/>
        <v>2079649_chr16:2079670-2079671:T&gt;G</v>
      </c>
      <c r="G329" s="4" t="s">
        <v>1068</v>
      </c>
      <c r="H329" t="s">
        <v>833</v>
      </c>
      <c r="I329" t="s">
        <v>978</v>
      </c>
      <c r="J329" t="s">
        <v>979</v>
      </c>
      <c r="K329" t="str">
        <f t="shared" si="71"/>
        <v>AGAGACAGGAGCCTTCGGTGGATCGGGTCCGTTCCATGTCGGGGGAGCCTTGGCCCCAGCCACCTCCACACAGGCACCGGGGCTCCCTCAGTTGCTGCTGGTCCCAGTGTTCAGGAAGGCCCCGAGCCCAGGGGAGGTAGGAGGATAGGCCAGG</v>
      </c>
      <c r="L329" t="str">
        <f t="shared" si="72"/>
        <v>CGGTG</v>
      </c>
      <c r="M329" t="str">
        <f t="shared" si="73"/>
        <v>TCGGG</v>
      </c>
      <c r="N329">
        <f t="shared" si="74"/>
        <v>154</v>
      </c>
      <c r="O329">
        <f t="shared" si="75"/>
        <v>2</v>
      </c>
      <c r="P329" t="str">
        <f t="shared" si="66"/>
        <v>AGAGACAGGAGCCTTCGGTGGATCGGGTCCGTTCCATGTCGG</v>
      </c>
    </row>
    <row r="330" spans="1:16" x14ac:dyDescent="0.25">
      <c r="A330">
        <v>2079649</v>
      </c>
      <c r="B330" t="s">
        <v>37</v>
      </c>
      <c r="C330" t="s">
        <v>349</v>
      </c>
      <c r="E330">
        <f t="shared" si="70"/>
        <v>8</v>
      </c>
      <c r="F330" t="str">
        <f t="shared" si="76"/>
        <v>2079649_chr16:2079673-2079674:G&gt;A</v>
      </c>
      <c r="G330" t="s">
        <v>987</v>
      </c>
      <c r="H330" t="s">
        <v>834</v>
      </c>
      <c r="I330" t="s">
        <v>978</v>
      </c>
      <c r="J330" t="s">
        <v>979</v>
      </c>
      <c r="K330" t="str">
        <f t="shared" si="71"/>
        <v>AGAGACAGGAGCCTTCGGTGGCTCGGGTCCGTTCCATGTCGGGTGAACCTTGGCCCCAGCCACCTCCACACAGGCACCGGGGCTCCCTCAGTTGCTGCTGGTCCCAGTGTTCAGGAAGGCCCCGAGCCCAGGGGAGGTAGGAGGATAGGCCAGG</v>
      </c>
      <c r="L330" t="str">
        <f t="shared" si="72"/>
        <v>CGGTG</v>
      </c>
      <c r="M330" t="str">
        <f t="shared" si="73"/>
        <v>TCGGG</v>
      </c>
      <c r="N330">
        <f t="shared" si="74"/>
        <v>154</v>
      </c>
      <c r="O330">
        <f t="shared" si="75"/>
        <v>2</v>
      </c>
      <c r="P330" t="str">
        <f t="shared" si="66"/>
        <v>AGAGACAGGAGCCTTCGGTGGCTCGGGTCCGTTCCATGTCGG</v>
      </c>
    </row>
    <row r="331" spans="1:16" x14ac:dyDescent="0.25">
      <c r="A331">
        <v>2079649</v>
      </c>
      <c r="B331" t="s">
        <v>37</v>
      </c>
      <c r="C331" t="s">
        <v>350</v>
      </c>
      <c r="E331">
        <f t="shared" si="70"/>
        <v>8</v>
      </c>
      <c r="F331" t="str">
        <f t="shared" si="76"/>
        <v>2079649_chr16:2079673-2079674:G&gt;T</v>
      </c>
      <c r="G331" t="s">
        <v>988</v>
      </c>
      <c r="H331" t="s">
        <v>835</v>
      </c>
      <c r="I331" t="s">
        <v>978</v>
      </c>
      <c r="J331" t="s">
        <v>979</v>
      </c>
      <c r="K331" t="str">
        <f t="shared" si="71"/>
        <v>AGAGACAGGAGCCTTCGGTGACTCGGGTCCGTTCCATGTCGGGTGATCCTTGGCCCCAGCCACCTCCACACAGGCACCGGGGCTCCCTCAGTTGCTGCTGGTCCCAGTGTTCAGGAAGGCCCCGAGCCCAGGGGAGGTAGGAGGATAGGCCAGG</v>
      </c>
      <c r="L331" t="str">
        <f t="shared" si="72"/>
        <v>CGGTG</v>
      </c>
      <c r="M331" t="str">
        <f t="shared" si="73"/>
        <v>TCGGG</v>
      </c>
      <c r="N331">
        <f t="shared" si="74"/>
        <v>154</v>
      </c>
      <c r="O331">
        <f t="shared" si="75"/>
        <v>2</v>
      </c>
      <c r="P331" t="str">
        <f t="shared" si="66"/>
        <v>AGAGACAGGAGCCTTCGGTGACTCGGGTCCGTTCCATGTCGG</v>
      </c>
    </row>
    <row r="332" spans="1:16" x14ac:dyDescent="0.25">
      <c r="A332">
        <v>2079649</v>
      </c>
      <c r="B332" t="s">
        <v>37</v>
      </c>
      <c r="C332" t="s">
        <v>351</v>
      </c>
      <c r="E332">
        <f t="shared" si="70"/>
        <v>8</v>
      </c>
      <c r="F332" t="str">
        <f t="shared" si="76"/>
        <v>2079649_chr16:2079675-2079676:C&gt;T</v>
      </c>
      <c r="G332" t="s">
        <v>989</v>
      </c>
      <c r="H332" t="s">
        <v>836</v>
      </c>
      <c r="I332" t="s">
        <v>978</v>
      </c>
      <c r="J332" t="s">
        <v>979</v>
      </c>
      <c r="K332" t="str">
        <f t="shared" si="71"/>
        <v>AGAGACAGGAGCCTTCGGTGCGTCGGGTCCGTTCCATGTCGGGTGAGCTTTGGCCCCAGCCACCTCCACACAGGCACCGGGGCTCCCTCAGTTGCTGCTGGTCCCAGTGTTCAGGAAGGCCCCGAGCCCAGGGGAGGTAGGAGGATAGGCCAGG</v>
      </c>
      <c r="L332" t="str">
        <f t="shared" si="72"/>
        <v>CGGTG</v>
      </c>
      <c r="M332" t="str">
        <f t="shared" si="73"/>
        <v>TCGGG</v>
      </c>
      <c r="N332">
        <f t="shared" si="74"/>
        <v>154</v>
      </c>
      <c r="O332">
        <f t="shared" si="75"/>
        <v>2</v>
      </c>
      <c r="P332" t="str">
        <f t="shared" si="66"/>
        <v>AGAGACAGGAGCCTTCGGTGCGTCGGGTCCGTTCCATGTCGG</v>
      </c>
    </row>
    <row r="333" spans="1:16" x14ac:dyDescent="0.25">
      <c r="A333">
        <v>2079649</v>
      </c>
      <c r="B333" t="s">
        <v>37</v>
      </c>
      <c r="C333" t="s">
        <v>352</v>
      </c>
      <c r="E333">
        <f t="shared" si="70"/>
        <v>8</v>
      </c>
      <c r="F333" t="str">
        <f t="shared" si="76"/>
        <v>2079649_chr16:2079683-2079684:C&gt;T</v>
      </c>
      <c r="G333" t="s">
        <v>990</v>
      </c>
      <c r="H333" t="s">
        <v>837</v>
      </c>
      <c r="I333" t="s">
        <v>978</v>
      </c>
      <c r="J333" t="s">
        <v>979</v>
      </c>
      <c r="K333" t="str">
        <f t="shared" si="71"/>
        <v>AGAGACAGGAGCCTTCGGTGGTTCGGGTCCGTTCCATGTCGGGTGAGCCTTGGCCCTAGCCACCTCCACACAGGCACCGGGGCTCCCTCAGTTGCTGCTGGTCCCAGTGTTCAGGAAGGCCCCGAGCCCAGGGGAGGTAGGAGGATAGGCCAGG</v>
      </c>
      <c r="L333" t="str">
        <f t="shared" si="72"/>
        <v>CGGTG</v>
      </c>
      <c r="M333" t="str">
        <f t="shared" si="73"/>
        <v>TCGGG</v>
      </c>
      <c r="N333">
        <f t="shared" si="74"/>
        <v>154</v>
      </c>
      <c r="O333">
        <f t="shared" si="75"/>
        <v>2</v>
      </c>
      <c r="P333" t="str">
        <f t="shared" si="66"/>
        <v>AGAGACAGGAGCCTTCGGTGGTTCGGGTCCGTTCCATGTCGG</v>
      </c>
    </row>
    <row r="334" spans="1:16" x14ac:dyDescent="0.25">
      <c r="A334">
        <v>2080357</v>
      </c>
      <c r="B334" t="s">
        <v>38</v>
      </c>
      <c r="C334" t="s">
        <v>353</v>
      </c>
      <c r="D334" t="s">
        <v>534</v>
      </c>
      <c r="E334" s="7">
        <f t="shared" si="70"/>
        <v>11</v>
      </c>
      <c r="F334" t="str">
        <f>(A334&amp;"_"&amp;D334)</f>
        <v>2080357_wt</v>
      </c>
      <c r="G334" t="s">
        <v>1104</v>
      </c>
      <c r="H334" t="s">
        <v>522</v>
      </c>
      <c r="I334" t="s">
        <v>978</v>
      </c>
      <c r="J334" t="s">
        <v>979</v>
      </c>
      <c r="K334" t="str">
        <f t="shared" si="71"/>
        <v>AGAGACAGGAGCCTTCGGTGAGACCTGGTCCGGAGGCCCACAGGTACTGGGCGGGGCTGGCCTGAGCGCCATCTTTCTGCCAGTCACCCACAGAGCTGTGGACACTCAGGGGCGATTGCAGACTTGGCCCTCTTGAGGTAGGAGGATAGGCCAGG</v>
      </c>
      <c r="L334" t="str">
        <f t="shared" si="72"/>
        <v>CGGTG</v>
      </c>
      <c r="M334" t="str">
        <f t="shared" si="73"/>
        <v>CCTGG</v>
      </c>
      <c r="N334">
        <f t="shared" si="74"/>
        <v>155</v>
      </c>
      <c r="O334">
        <f t="shared" si="75"/>
        <v>3</v>
      </c>
      <c r="P334" t="str">
        <f t="shared" ref="P334:P344" si="77">LEFT(K334,43)</f>
        <v>AGAGACAGGAGCCTTCGGTGAGACCTGGTCCGGAGGCCCACAG</v>
      </c>
    </row>
    <row r="335" spans="1:16" x14ac:dyDescent="0.25">
      <c r="A335">
        <v>2080357</v>
      </c>
      <c r="B335" t="s">
        <v>38</v>
      </c>
      <c r="C335" t="s">
        <v>353</v>
      </c>
      <c r="E335" s="7">
        <f t="shared" si="70"/>
        <v>11</v>
      </c>
      <c r="F335" t="str">
        <f t="shared" ref="F335:F344" si="78">(A335&amp;"_"&amp;C335)</f>
        <v>2080357_chr16:2080377-2080378:G&gt;A</v>
      </c>
      <c r="G335" t="s">
        <v>1105</v>
      </c>
      <c r="H335" t="s">
        <v>838</v>
      </c>
      <c r="I335" t="s">
        <v>978</v>
      </c>
      <c r="J335" t="s">
        <v>979</v>
      </c>
      <c r="K335" t="str">
        <f t="shared" si="71"/>
        <v>AGAGACAGGAGCCTTCGGTGCAACCTGGTCCGGAGGCCCACAGATACTGGGCGGGGCTGGCCTGAGCGCCATCTTTCTGCCAGTCACCCACAGAGCTGTGGACACTCAGGGGCGATTGCAGACTTGGCCCTCTTGAGGTAGGAGGATAGGCCAGG</v>
      </c>
      <c r="L335" t="str">
        <f t="shared" si="72"/>
        <v>CGGTG</v>
      </c>
      <c r="M335" t="str">
        <f t="shared" si="73"/>
        <v>CCTGG</v>
      </c>
      <c r="N335">
        <f t="shared" si="74"/>
        <v>155</v>
      </c>
      <c r="O335">
        <f t="shared" si="75"/>
        <v>3</v>
      </c>
      <c r="P335" t="str">
        <f t="shared" si="77"/>
        <v>AGAGACAGGAGCCTTCGGTGCAACCTGGTCCGGAGGCCCACAG</v>
      </c>
    </row>
    <row r="336" spans="1:16" x14ac:dyDescent="0.25">
      <c r="A336">
        <v>2080357</v>
      </c>
      <c r="B336" t="s">
        <v>38</v>
      </c>
      <c r="C336" t="s">
        <v>354</v>
      </c>
      <c r="E336" s="7">
        <f t="shared" si="70"/>
        <v>11</v>
      </c>
      <c r="F336" t="str">
        <f t="shared" si="78"/>
        <v>2080357_chr16:2080377-2080378:G&gt;C</v>
      </c>
      <c r="G336" t="s">
        <v>1072</v>
      </c>
      <c r="H336" t="s">
        <v>839</v>
      </c>
      <c r="I336" t="s">
        <v>978</v>
      </c>
      <c r="J336" t="s">
        <v>979</v>
      </c>
      <c r="K336" t="str">
        <f t="shared" si="71"/>
        <v>AGAGACAGGAGCCTTCGGTGATACCTGGTCCGGAGGCCCACAGCTACTGGGCGGGGCTGGCCTGAGCGCCATCTTTCTGCCAGTCACCCACAGAGCTGTGGACACTCAGGGGCGATTGCAGACTTGGCCCTCTTGAGGTAGGAGGATAGGCCAGG</v>
      </c>
      <c r="L336" t="str">
        <f t="shared" si="72"/>
        <v>CGGTG</v>
      </c>
      <c r="M336" t="str">
        <f t="shared" si="73"/>
        <v>CCTGG</v>
      </c>
      <c r="N336">
        <f t="shared" si="74"/>
        <v>155</v>
      </c>
      <c r="O336">
        <f t="shared" si="75"/>
        <v>3</v>
      </c>
      <c r="P336" t="str">
        <f t="shared" si="77"/>
        <v>AGAGACAGGAGCCTTCGGTGATACCTGGTCCGGAGGCCCACAG</v>
      </c>
    </row>
    <row r="337" spans="1:16" x14ac:dyDescent="0.25">
      <c r="A337">
        <v>2080357</v>
      </c>
      <c r="B337" t="s">
        <v>38</v>
      </c>
      <c r="C337" t="s">
        <v>355</v>
      </c>
      <c r="E337" s="7">
        <f t="shared" si="70"/>
        <v>11</v>
      </c>
      <c r="F337" t="str">
        <f t="shared" si="78"/>
        <v>2080357_chr16:2080377-2080378:G&gt;T</v>
      </c>
      <c r="G337" t="s">
        <v>1106</v>
      </c>
      <c r="H337" t="s">
        <v>840</v>
      </c>
      <c r="I337" t="s">
        <v>978</v>
      </c>
      <c r="J337" t="s">
        <v>979</v>
      </c>
      <c r="K337" t="str">
        <f t="shared" si="71"/>
        <v>AGAGACAGGAGCCTTCGGTGTGACCTGGTCCGGAGGCCCACAGTTACTGGGCGGGGCTGGCCTGAGCGCCATCTTTCTGCCAGTCACCCACAGAGCTGTGGACACTCAGGGGCGATTGCAGACTTGGCCCTCTTGAGGTAGGAGGATAGGCCAGG</v>
      </c>
      <c r="L337" t="str">
        <f t="shared" si="72"/>
        <v>CGGTG</v>
      </c>
      <c r="M337" t="str">
        <f t="shared" si="73"/>
        <v>CCTGG</v>
      </c>
      <c r="N337">
        <f t="shared" si="74"/>
        <v>155</v>
      </c>
      <c r="O337">
        <f t="shared" si="75"/>
        <v>3</v>
      </c>
      <c r="P337" t="str">
        <f t="shared" si="77"/>
        <v>AGAGACAGGAGCCTTCGGTGTGACCTGGTCCGGAGGCCCACAG</v>
      </c>
    </row>
    <row r="338" spans="1:16" x14ac:dyDescent="0.25">
      <c r="A338">
        <v>2080357</v>
      </c>
      <c r="B338" t="s">
        <v>38</v>
      </c>
      <c r="C338" t="s">
        <v>356</v>
      </c>
      <c r="E338" s="7">
        <f t="shared" si="70"/>
        <v>11</v>
      </c>
      <c r="F338" t="str">
        <f t="shared" si="78"/>
        <v>2080357_chr16:2080380-2080381:C&gt;T</v>
      </c>
      <c r="G338" s="4" t="s">
        <v>1107</v>
      </c>
      <c r="H338" t="s">
        <v>841</v>
      </c>
      <c r="I338" t="s">
        <v>980</v>
      </c>
      <c r="J338" t="s">
        <v>979</v>
      </c>
      <c r="K338" t="str">
        <f t="shared" si="71"/>
        <v>AGAGACAGGAGCCTTCGGTGTAACCTGGTCCGGAGGCCCACAGGTATTGGGCGGGGCTGGCCTGAGCGCCATCTTTCTGCCAGTCACCCACAGAGCTGTGGACACTCAGGGGCGATTGCAGACTTGGCCCTCTTGAGGTAGGAGGATAGGCCAGG</v>
      </c>
      <c r="L338" t="str">
        <f t="shared" si="72"/>
        <v>CGGTG</v>
      </c>
      <c r="M338" t="str">
        <f t="shared" si="73"/>
        <v>CCTGG</v>
      </c>
      <c r="N338">
        <f t="shared" si="74"/>
        <v>155</v>
      </c>
      <c r="O338">
        <f t="shared" si="75"/>
        <v>3</v>
      </c>
      <c r="P338" t="str">
        <f t="shared" si="77"/>
        <v>AGAGACAGGAGCCTTCGGTGTAACCTGGTCCGGAGGCCCACAG</v>
      </c>
    </row>
    <row r="339" spans="1:16" x14ac:dyDescent="0.25">
      <c r="A339">
        <v>2080357</v>
      </c>
      <c r="B339" t="s">
        <v>38</v>
      </c>
      <c r="C339" t="s">
        <v>357</v>
      </c>
      <c r="E339" s="7">
        <f t="shared" si="70"/>
        <v>11</v>
      </c>
      <c r="F339" t="str">
        <f t="shared" si="78"/>
        <v>2080357_chr16:2080382-2080383:G&gt;A</v>
      </c>
      <c r="G339" t="s">
        <v>1108</v>
      </c>
      <c r="H339" t="s">
        <v>842</v>
      </c>
      <c r="I339" t="s">
        <v>978</v>
      </c>
      <c r="J339" t="s">
        <v>979</v>
      </c>
      <c r="K339" t="str">
        <f t="shared" si="71"/>
        <v>AGAGACAGGAGCCTTCGGTGGCACCTGGTCCGGAGGCCCACAGGTACTAGGCGGGGCTGGCCTGAGCGCCATCTTTCTGCCAGTCACCCACAGAGCTGTGGACACTCAGGGGCGATTGCAGACTTGGCCCTCTTGAGGTAGGAGGATAGGCCAGG</v>
      </c>
      <c r="L339" t="str">
        <f t="shared" si="72"/>
        <v>CGGTG</v>
      </c>
      <c r="M339" t="str">
        <f t="shared" si="73"/>
        <v>CCTGG</v>
      </c>
      <c r="N339">
        <f t="shared" si="74"/>
        <v>155</v>
      </c>
      <c r="O339">
        <f t="shared" si="75"/>
        <v>3</v>
      </c>
      <c r="P339" t="str">
        <f t="shared" si="77"/>
        <v>AGAGACAGGAGCCTTCGGTGGCACCTGGTCCGGAGGCCCACAG</v>
      </c>
    </row>
    <row r="340" spans="1:16" x14ac:dyDescent="0.25">
      <c r="A340">
        <v>2080357</v>
      </c>
      <c r="B340" t="s">
        <v>38</v>
      </c>
      <c r="C340" t="s">
        <v>358</v>
      </c>
      <c r="E340" s="7">
        <f t="shared" si="70"/>
        <v>11</v>
      </c>
      <c r="F340" t="str">
        <f t="shared" si="78"/>
        <v>2080357_chr16:2080385-2080386:C&gt;T</v>
      </c>
      <c r="G340" t="s">
        <v>1109</v>
      </c>
      <c r="H340" t="s">
        <v>843</v>
      </c>
      <c r="I340" t="s">
        <v>978</v>
      </c>
      <c r="J340" t="s">
        <v>979</v>
      </c>
      <c r="K340" t="str">
        <f t="shared" si="71"/>
        <v>AGAGACAGGAGCCTTCGGTGACACCTGGTCCGGAGGCCCACAGGTACTGGGTGGGGCTGGCCTGAGCGCCATCTTTCTGCCAGTCACCCACAGAGCTGTGGACACTCAGGGGCGATTGCAGACTTGGCCCTCTTGAGGTAGGAGGATAGGCCAGG</v>
      </c>
      <c r="L340" t="str">
        <f t="shared" si="72"/>
        <v>CGGTG</v>
      </c>
      <c r="M340" t="str">
        <f t="shared" si="73"/>
        <v>CCTGG</v>
      </c>
      <c r="N340">
        <f t="shared" si="74"/>
        <v>155</v>
      </c>
      <c r="O340">
        <f t="shared" si="75"/>
        <v>3</v>
      </c>
      <c r="P340" t="str">
        <f t="shared" si="77"/>
        <v>AGAGACAGGAGCCTTCGGTGACACCTGGTCCGGAGGCCCACAG</v>
      </c>
    </row>
    <row r="341" spans="1:16" x14ac:dyDescent="0.25">
      <c r="A341">
        <v>2080357</v>
      </c>
      <c r="B341" t="s">
        <v>38</v>
      </c>
      <c r="C341" t="s">
        <v>359</v>
      </c>
      <c r="E341" s="7">
        <f t="shared" si="70"/>
        <v>11</v>
      </c>
      <c r="F341" t="str">
        <f t="shared" si="78"/>
        <v>2080357_chr16:2080386-2080387:G&gt;A</v>
      </c>
      <c r="G341" t="s">
        <v>1075</v>
      </c>
      <c r="H341" t="s">
        <v>844</v>
      </c>
      <c r="I341" t="s">
        <v>978</v>
      </c>
      <c r="J341" t="s">
        <v>979</v>
      </c>
      <c r="K341" t="str">
        <f t="shared" si="71"/>
        <v>AGAGACAGGAGCCTTCGGTGCGACCTGGTCCGGAGGCCCACAGGTACTGGGCAGGGCTGGCCTGAGCGCCATCTTTCTGCCAGTCACCCACAGAGCTGTGGACACTCAGGGGCGATTGCAGACTTGGCCCTCTTGAGGTAGGAGGATAGGCCAGG</v>
      </c>
      <c r="L341" t="str">
        <f t="shared" si="72"/>
        <v>CGGTG</v>
      </c>
      <c r="M341" t="str">
        <f t="shared" si="73"/>
        <v>CCTGG</v>
      </c>
      <c r="N341">
        <f t="shared" si="74"/>
        <v>155</v>
      </c>
      <c r="O341">
        <f t="shared" si="75"/>
        <v>3</v>
      </c>
      <c r="P341" t="str">
        <f t="shared" si="77"/>
        <v>AGAGACAGGAGCCTTCGGTGCGACCTGGTCCGGAGGCCCACAG</v>
      </c>
    </row>
    <row r="342" spans="1:16" x14ac:dyDescent="0.25">
      <c r="A342">
        <v>2080357</v>
      </c>
      <c r="B342" t="s">
        <v>38</v>
      </c>
      <c r="C342" t="s">
        <v>360</v>
      </c>
      <c r="E342" s="7">
        <f t="shared" si="70"/>
        <v>11</v>
      </c>
      <c r="F342" t="str">
        <f t="shared" si="78"/>
        <v>2080357_chr16:2080400-2080401:C&gt;T</v>
      </c>
      <c r="G342" t="s">
        <v>1110</v>
      </c>
      <c r="H342" t="s">
        <v>845</v>
      </c>
      <c r="I342" t="s">
        <v>978</v>
      </c>
      <c r="J342" t="s">
        <v>979</v>
      </c>
      <c r="K342" t="str">
        <f t="shared" si="71"/>
        <v>AGAGACAGGAGCCTTCGGTGGTACCTGGTCCGGAGGCCCACAGGTACTGGGCGGGGCTGGCCTGAGTGCCATCTTTCTGCCAGTCACCCACAGAGCTGTGGACACTCAGGGGCGATTGCAGACTTGGCCCTCTTGAGGTAGGAGGATAGGCCAGG</v>
      </c>
      <c r="L342" t="str">
        <f t="shared" si="72"/>
        <v>CGGTG</v>
      </c>
      <c r="M342" t="str">
        <f t="shared" si="73"/>
        <v>CCTGG</v>
      </c>
      <c r="N342">
        <f t="shared" si="74"/>
        <v>155</v>
      </c>
      <c r="O342">
        <f t="shared" si="75"/>
        <v>3</v>
      </c>
      <c r="P342" t="str">
        <f t="shared" si="77"/>
        <v>AGAGACAGGAGCCTTCGGTGGTACCTGGTCCGGAGGCCCACAG</v>
      </c>
    </row>
    <row r="343" spans="1:16" x14ac:dyDescent="0.25">
      <c r="A343">
        <v>2080357</v>
      </c>
      <c r="B343" t="s">
        <v>38</v>
      </c>
      <c r="C343" t="s">
        <v>361</v>
      </c>
      <c r="E343" s="7">
        <f t="shared" si="70"/>
        <v>11</v>
      </c>
      <c r="F343" t="str">
        <f t="shared" si="78"/>
        <v>2080357_chr16:2080401-2080402:G&gt;C</v>
      </c>
      <c r="G343" t="s">
        <v>1111</v>
      </c>
      <c r="H343" t="s">
        <v>846</v>
      </c>
      <c r="I343" t="s">
        <v>978</v>
      </c>
      <c r="J343" t="s">
        <v>981</v>
      </c>
      <c r="K343" t="str">
        <f t="shared" si="71"/>
        <v>AGAGACAGGAGCCTTCGGTGGAACCTGGTCCGGAGGCCCACAGGTACTGGGCGGGGCTGGCCTGAGCCCCATCTTTCTGCCAGTCACCCACAGAGCTGTGGACACTCAGGGGCGATTGCAGACTTGGCCCTCTTGAGGTAGGAGGATAGGCCAGG</v>
      </c>
      <c r="L343" t="str">
        <f t="shared" si="72"/>
        <v>CGGTG</v>
      </c>
      <c r="M343" t="str">
        <f t="shared" si="73"/>
        <v>CCTGG</v>
      </c>
      <c r="N343">
        <f t="shared" si="74"/>
        <v>155</v>
      </c>
      <c r="O343">
        <f t="shared" si="75"/>
        <v>3</v>
      </c>
      <c r="P343" t="str">
        <f t="shared" si="77"/>
        <v>AGAGACAGGAGCCTTCGGTGGAACCTGGTCCGGAGGCCCACAG</v>
      </c>
    </row>
    <row r="344" spans="1:16" x14ac:dyDescent="0.25">
      <c r="A344">
        <v>2080357</v>
      </c>
      <c r="B344" t="s">
        <v>38</v>
      </c>
      <c r="C344" t="s">
        <v>362</v>
      </c>
      <c r="E344" s="7">
        <f t="shared" si="70"/>
        <v>11</v>
      </c>
      <c r="F344" t="str">
        <f t="shared" si="78"/>
        <v>2080357_chr16:2080419-2080419:-&gt;C</v>
      </c>
      <c r="G344" t="s">
        <v>1112</v>
      </c>
      <c r="H344" t="s">
        <v>847</v>
      </c>
      <c r="I344" t="s">
        <v>978</v>
      </c>
      <c r="J344" t="s">
        <v>979</v>
      </c>
      <c r="K344" t="str">
        <f t="shared" si="71"/>
        <v>AGAGACAGGAGCCTTCGGTGTCACCTGGTCCGGAGGCCCACAGGTACTGGGCGGGGCTGGCCTGAGCGCCATCTTTCTGCCAGTCCACCCACAGAGCTGTGGACACTCAGGGGCGATTGCAGACTTGGCCCTCTTGAGGTAGGAGGATAGGCCAGG</v>
      </c>
      <c r="L344" t="str">
        <f t="shared" si="72"/>
        <v>CGGTG</v>
      </c>
      <c r="M344" t="str">
        <f t="shared" si="73"/>
        <v>CCTGG</v>
      </c>
      <c r="N344">
        <f t="shared" si="74"/>
        <v>156</v>
      </c>
      <c r="O344">
        <f t="shared" si="75"/>
        <v>3</v>
      </c>
      <c r="P344" t="str">
        <f t="shared" si="77"/>
        <v>AGAGACAGGAGCCTTCGGTGTCACCTGGTCCGGAGGCCCACAG</v>
      </c>
    </row>
    <row r="345" spans="1:16" x14ac:dyDescent="0.25">
      <c r="A345">
        <v>2081778</v>
      </c>
      <c r="B345" t="s">
        <v>39</v>
      </c>
      <c r="C345" t="s">
        <v>363</v>
      </c>
      <c r="D345" t="s">
        <v>534</v>
      </c>
      <c r="E345" s="7">
        <f t="shared" si="70"/>
        <v>8</v>
      </c>
      <c r="F345" t="str">
        <f>(A345&amp;"_"&amp;D345)</f>
        <v>2081778_wt</v>
      </c>
      <c r="G345" t="s">
        <v>985</v>
      </c>
      <c r="H345" t="s">
        <v>523</v>
      </c>
      <c r="I345" t="s">
        <v>978</v>
      </c>
      <c r="J345" t="s">
        <v>979</v>
      </c>
      <c r="K345" t="str">
        <f t="shared" si="71"/>
        <v>AGAGACAGGAGCCTTCGGTGATTCTGCCTCGCTCCAACACAGGTGAGTGGCATGGCGGGCCTTGGCACGGGCTCTGCTCCCACTGGCCTGGTGCTCCCGGTGACGGCAATGTGGCTCCTCTCTGCTGAGGGCGCAGGTAGGAGGATAGGCCAGG</v>
      </c>
      <c r="L345" t="str">
        <f t="shared" si="72"/>
        <v>CGGTG</v>
      </c>
      <c r="M345" t="str">
        <f t="shared" si="73"/>
        <v>TCTGC</v>
      </c>
      <c r="N345">
        <f t="shared" si="74"/>
        <v>154</v>
      </c>
      <c r="O345">
        <f t="shared" si="75"/>
        <v>2</v>
      </c>
      <c r="P345" t="str">
        <f t="shared" ref="P345:P369" si="79">LEFT(K345,42)</f>
        <v>AGAGACAGGAGCCTTCGGTGATTCTGCCTCGCTCCAACACAG</v>
      </c>
    </row>
    <row r="346" spans="1:16" x14ac:dyDescent="0.25">
      <c r="A346">
        <v>2081778</v>
      </c>
      <c r="B346" t="s">
        <v>39</v>
      </c>
      <c r="C346" t="s">
        <v>363</v>
      </c>
      <c r="E346" s="7">
        <f t="shared" si="70"/>
        <v>8</v>
      </c>
      <c r="F346" t="str">
        <f t="shared" ref="F346:F352" si="80">(A346&amp;"_"&amp;C346)</f>
        <v>2081778_chr16:2081798-2081799:G&gt;A</v>
      </c>
      <c r="G346" t="s">
        <v>1040</v>
      </c>
      <c r="H346" t="s">
        <v>848</v>
      </c>
      <c r="I346" t="s">
        <v>978</v>
      </c>
      <c r="J346" t="s">
        <v>979</v>
      </c>
      <c r="K346" t="str">
        <f t="shared" si="71"/>
        <v>AGAGACAGGAGCCTTCGGTGTGTCTGCCTCGCTCCAACACAGATGAGTGGCATGGCGGGCCTTGGCACGGGCTCTGCTCCCACTGGCCTGGTGCTCCCGGTGACGGCAATGTGGCTCCTCTCTGCTGAGGGCGCAGGTAGGAGGATAGGCCAGG</v>
      </c>
      <c r="L346" t="str">
        <f t="shared" si="72"/>
        <v>CGGTG</v>
      </c>
      <c r="M346" t="str">
        <f t="shared" si="73"/>
        <v>TCTGC</v>
      </c>
      <c r="N346">
        <f t="shared" si="74"/>
        <v>154</v>
      </c>
      <c r="O346">
        <f t="shared" si="75"/>
        <v>2</v>
      </c>
      <c r="P346" t="str">
        <f t="shared" si="79"/>
        <v>AGAGACAGGAGCCTTCGGTGTGTCTGCCTCGCTCCAACACAG</v>
      </c>
    </row>
    <row r="347" spans="1:16" x14ac:dyDescent="0.25">
      <c r="A347">
        <v>2081778</v>
      </c>
      <c r="B347" t="s">
        <v>39</v>
      </c>
      <c r="C347" t="s">
        <v>364</v>
      </c>
      <c r="E347" s="7">
        <f t="shared" si="70"/>
        <v>8</v>
      </c>
      <c r="F347" t="str">
        <f t="shared" si="80"/>
        <v>2081778_chr16:2081798-2081799:G&gt;C</v>
      </c>
      <c r="G347" s="4" t="s">
        <v>1088</v>
      </c>
      <c r="H347" t="s">
        <v>849</v>
      </c>
      <c r="I347" t="s">
        <v>978</v>
      </c>
      <c r="J347" t="s">
        <v>979</v>
      </c>
      <c r="K347" t="str">
        <f t="shared" si="71"/>
        <v>AGAGACAGGAGCCTTCGGTGCATCTGCCTCGCTCCAACACAGCTGAGTGGCATGGCGGGCCTTGGCACGGGCTCTGCTCCCACTGGCCTGGTGCTCCCGGTGACGGCAATGTGGCTCCTCTCTGCTGAGGGCGCAGGTAGGAGGATAGGCCAGG</v>
      </c>
      <c r="L347" t="str">
        <f t="shared" si="72"/>
        <v>CGGTG</v>
      </c>
      <c r="M347" t="str">
        <f t="shared" si="73"/>
        <v>TCTGC</v>
      </c>
      <c r="N347">
        <f t="shared" si="74"/>
        <v>154</v>
      </c>
      <c r="O347">
        <f t="shared" si="75"/>
        <v>2</v>
      </c>
      <c r="P347" t="str">
        <f t="shared" si="79"/>
        <v>AGAGACAGGAGCCTTCGGTGCATCTGCCTCGCTCCAACACAG</v>
      </c>
    </row>
    <row r="348" spans="1:16" x14ac:dyDescent="0.25">
      <c r="A348">
        <v>2081778</v>
      </c>
      <c r="B348" t="s">
        <v>39</v>
      </c>
      <c r="C348" t="s">
        <v>365</v>
      </c>
      <c r="E348" s="7">
        <f t="shared" si="70"/>
        <v>8</v>
      </c>
      <c r="F348" t="str">
        <f t="shared" si="80"/>
        <v>2081778_chr16:2081802-2081803:G&gt;A</v>
      </c>
      <c r="G348" t="s">
        <v>987</v>
      </c>
      <c r="H348" t="s">
        <v>850</v>
      </c>
      <c r="I348" t="s">
        <v>978</v>
      </c>
      <c r="J348" t="s">
        <v>979</v>
      </c>
      <c r="K348" t="str">
        <f t="shared" si="71"/>
        <v>AGAGACAGGAGCCTTCGGTGGCTCTGCCTCGCTCCAACACAGGTGAATGGCATGGCGGGCCTTGGCACGGGCTCTGCTCCCACTGGCCTGGTGCTCCCGGTGACGGCAATGTGGCTCCTCTCTGCTGAGGGCGCAGGTAGGAGGATAGGCCAGG</v>
      </c>
      <c r="L348" t="str">
        <f t="shared" si="72"/>
        <v>CGGTG</v>
      </c>
      <c r="M348" t="str">
        <f t="shared" si="73"/>
        <v>TCTGC</v>
      </c>
      <c r="N348">
        <f t="shared" si="74"/>
        <v>154</v>
      </c>
      <c r="O348">
        <f t="shared" si="75"/>
        <v>2</v>
      </c>
      <c r="P348" t="str">
        <f t="shared" si="79"/>
        <v>AGAGACAGGAGCCTTCGGTGGCTCTGCCTCGCTCCAACACAG</v>
      </c>
    </row>
    <row r="349" spans="1:16" x14ac:dyDescent="0.25">
      <c r="A349">
        <v>2081778</v>
      </c>
      <c r="B349" t="s">
        <v>39</v>
      </c>
      <c r="C349" t="s">
        <v>366</v>
      </c>
      <c r="E349" s="7">
        <f t="shared" si="70"/>
        <v>8</v>
      </c>
      <c r="F349" t="str">
        <f t="shared" si="80"/>
        <v>2081778_chr16:2081805-2081806:G&gt;C</v>
      </c>
      <c r="G349" t="s">
        <v>988</v>
      </c>
      <c r="H349" t="s">
        <v>851</v>
      </c>
      <c r="I349" t="s">
        <v>978</v>
      </c>
      <c r="J349" t="s">
        <v>979</v>
      </c>
      <c r="K349" t="str">
        <f t="shared" si="71"/>
        <v>AGAGACAGGAGCCTTCGGTGACTCTGCCTCGCTCCAACACAGGTGAGTGCCATGGCGGGCCTTGGCACGGGCTCTGCTCCCACTGGCCTGGTGCTCCCGGTGACGGCAATGTGGCTCCTCTCTGCTGAGGGCGCAGGTAGGAGGATAGGCCAGG</v>
      </c>
      <c r="L349" t="str">
        <f t="shared" si="72"/>
        <v>CGGTG</v>
      </c>
      <c r="M349" t="str">
        <f t="shared" si="73"/>
        <v>TCTGC</v>
      </c>
      <c r="N349">
        <f t="shared" si="74"/>
        <v>154</v>
      </c>
      <c r="O349">
        <f t="shared" si="75"/>
        <v>2</v>
      </c>
      <c r="P349" t="str">
        <f t="shared" si="79"/>
        <v>AGAGACAGGAGCCTTCGGTGACTCTGCCTCGCTCCAACACAG</v>
      </c>
    </row>
    <row r="350" spans="1:16" x14ac:dyDescent="0.25">
      <c r="A350">
        <v>2081778</v>
      </c>
      <c r="B350" t="s">
        <v>39</v>
      </c>
      <c r="C350" t="s">
        <v>367</v>
      </c>
      <c r="E350" s="7">
        <f t="shared" si="70"/>
        <v>8</v>
      </c>
      <c r="F350" t="str">
        <f t="shared" si="80"/>
        <v>2081778_chr16:2081807-2081808:A&gt;G</v>
      </c>
      <c r="G350" t="s">
        <v>989</v>
      </c>
      <c r="H350" t="s">
        <v>852</v>
      </c>
      <c r="I350" t="s">
        <v>978</v>
      </c>
      <c r="J350" t="s">
        <v>981</v>
      </c>
      <c r="K350" t="str">
        <f t="shared" si="71"/>
        <v>AGAGACAGGAGCCTTCGGTGCGTCTGCCTCGCTCCAACACAGGTGAGTGGCGTGGCGGGCCTTGGCACGGGCTCTGCTCCCACTGGCCTGGTGCTCCCGGTGACGGCAATGTGGCTCCTCTCTGCTGAGGGCGCAGGTAGGAGGATAGGCCAGG</v>
      </c>
      <c r="L350" t="str">
        <f t="shared" si="72"/>
        <v>CGGTG</v>
      </c>
      <c r="M350" t="str">
        <f t="shared" si="73"/>
        <v>TCTGC</v>
      </c>
      <c r="N350">
        <f t="shared" si="74"/>
        <v>154</v>
      </c>
      <c r="O350">
        <f t="shared" si="75"/>
        <v>2</v>
      </c>
      <c r="P350" t="str">
        <f t="shared" si="79"/>
        <v>AGAGACAGGAGCCTTCGGTGCGTCTGCCTCGCTCCAACACAG</v>
      </c>
    </row>
    <row r="351" spans="1:16" x14ac:dyDescent="0.25">
      <c r="A351">
        <v>2081778</v>
      </c>
      <c r="B351" t="s">
        <v>39</v>
      </c>
      <c r="C351" t="s">
        <v>368</v>
      </c>
      <c r="E351" s="7">
        <f t="shared" si="70"/>
        <v>8</v>
      </c>
      <c r="F351" t="str">
        <f t="shared" si="80"/>
        <v>2081778_chr16:2081812-2081813:G&gt;A</v>
      </c>
      <c r="G351" t="s">
        <v>990</v>
      </c>
      <c r="H351" t="s">
        <v>853</v>
      </c>
      <c r="I351" t="s">
        <v>978</v>
      </c>
      <c r="J351" t="s">
        <v>979</v>
      </c>
      <c r="K351" t="str">
        <f t="shared" si="71"/>
        <v>AGAGACAGGAGCCTTCGGTGGTTCTGCCTCGCTCCAACACAGGTGAGTGGCATGGCAGGCCTTGGCACGGGCTCTGCTCCCACTGGCCTGGTGCTCCCGGTGACGGCAATGTGGCTCCTCTCTGCTGAGGGCGCAGGTAGGAGGATAGGCCAGG</v>
      </c>
      <c r="L351" t="str">
        <f t="shared" si="72"/>
        <v>CGGTG</v>
      </c>
      <c r="M351" t="str">
        <f t="shared" si="73"/>
        <v>TCTGC</v>
      </c>
      <c r="N351">
        <f t="shared" si="74"/>
        <v>154</v>
      </c>
      <c r="O351">
        <f t="shared" si="75"/>
        <v>2</v>
      </c>
      <c r="P351" t="str">
        <f t="shared" si="79"/>
        <v>AGAGACAGGAGCCTTCGGTGGTTCTGCCTCGCTCCAACACAG</v>
      </c>
    </row>
    <row r="352" spans="1:16" x14ac:dyDescent="0.25">
      <c r="A352">
        <v>2081778</v>
      </c>
      <c r="B352" t="s">
        <v>39</v>
      </c>
      <c r="C352" t="s">
        <v>369</v>
      </c>
      <c r="E352" s="7">
        <f t="shared" si="70"/>
        <v>8</v>
      </c>
      <c r="F352" t="str">
        <f t="shared" si="80"/>
        <v>2081778_chr16:2081853-2081854:C&gt;T</v>
      </c>
      <c r="G352" s="4" t="s">
        <v>1113</v>
      </c>
      <c r="H352" t="s">
        <v>854</v>
      </c>
      <c r="I352" t="s">
        <v>978</v>
      </c>
      <c r="J352" t="s">
        <v>979</v>
      </c>
      <c r="K352" t="str">
        <f t="shared" si="71"/>
        <v>AGAGACAGGAGCCTTCGGTGTCTCTGCCTCGCTCCAACACAGGTGAGTGGCATGGCGGGCCTTGGCACGGGCTCTGCTCCCACTGGCCTGGTGCTCCTGGTGACGGCAATGTGGCTCCTCTCTGCTGAGGGCGCAGGTAGGAGGATAGGCCAGG</v>
      </c>
      <c r="L352" t="str">
        <f t="shared" si="72"/>
        <v>CGGTG</v>
      </c>
      <c r="M352" t="str">
        <f t="shared" si="73"/>
        <v>TCTGC</v>
      </c>
      <c r="N352">
        <f t="shared" si="74"/>
        <v>154</v>
      </c>
      <c r="O352">
        <f t="shared" si="75"/>
        <v>2</v>
      </c>
      <c r="P352" t="str">
        <f t="shared" si="79"/>
        <v>AGAGACAGGAGCCTTCGGTGTCTCTGCCTCGCTCCAACACAG</v>
      </c>
    </row>
    <row r="353" spans="1:16" x14ac:dyDescent="0.25">
      <c r="A353">
        <v>2082484</v>
      </c>
      <c r="B353" t="s">
        <v>40</v>
      </c>
      <c r="C353" t="s">
        <v>370</v>
      </c>
      <c r="D353" t="s">
        <v>534</v>
      </c>
      <c r="E353">
        <f t="shared" si="70"/>
        <v>11</v>
      </c>
      <c r="F353" t="str">
        <f>(A353&amp;"_"&amp;D353)</f>
        <v>2082484_wt</v>
      </c>
      <c r="G353" t="s">
        <v>983</v>
      </c>
      <c r="H353" t="s">
        <v>524</v>
      </c>
      <c r="I353" t="s">
        <v>978</v>
      </c>
      <c r="J353" t="s">
        <v>979</v>
      </c>
      <c r="K353" t="str">
        <f t="shared" si="71"/>
        <v>AGAGACAGGAGCCTTCGGTGAGCAGGAGCGTTTCCTGGGCAGGTATCGCCTCTCAGAGGGAAGCGGTTGGCTGCAGAGCGCCACTCTGCCTCATAGGTGCTGTGCTCGTCGCCTCATCCGCCCACCCCCATGGTAGGTAGGAGGATAGGCCAGG</v>
      </c>
      <c r="L353" t="str">
        <f t="shared" si="72"/>
        <v>CGGTG</v>
      </c>
      <c r="M353" t="str">
        <f t="shared" si="73"/>
        <v>CAGGA</v>
      </c>
      <c r="N353">
        <f t="shared" si="74"/>
        <v>154</v>
      </c>
      <c r="O353">
        <f t="shared" si="75"/>
        <v>2</v>
      </c>
      <c r="P353" t="str">
        <f t="shared" si="79"/>
        <v>AGAGACAGGAGCCTTCGGTGAGCAGGAGCGTTTCCTGGGCAG</v>
      </c>
    </row>
    <row r="354" spans="1:16" x14ac:dyDescent="0.25">
      <c r="A354">
        <v>2082484</v>
      </c>
      <c r="B354" t="s">
        <v>40</v>
      </c>
      <c r="C354" t="s">
        <v>370</v>
      </c>
      <c r="E354">
        <f t="shared" si="70"/>
        <v>11</v>
      </c>
      <c r="F354" t="str">
        <f t="shared" ref="F354:F363" si="81">(A354&amp;"_"&amp;C354)</f>
        <v>2082484_chr16:2082508-2082509:C&gt;T</v>
      </c>
      <c r="G354" t="s">
        <v>984</v>
      </c>
      <c r="H354" t="s">
        <v>855</v>
      </c>
      <c r="I354" t="s">
        <v>978</v>
      </c>
      <c r="J354" t="s">
        <v>979</v>
      </c>
      <c r="K354" t="str">
        <f t="shared" si="71"/>
        <v>AGAGACAGGAGCCTTCGGTGCACAGGAGCGTTTCCTGGGCAGGTATTGCCTCTCAGAGGGAAGCGGTTGGCTGCAGAGCGCCACTCTGCCTCATAGGTGCTGTGCTCGTCGCCTCATCCGCCCACCCCCATGGTAGGTAGGAGGATAGGCCAGG</v>
      </c>
      <c r="L354" t="str">
        <f t="shared" si="72"/>
        <v>CGGTG</v>
      </c>
      <c r="M354" t="str">
        <f t="shared" si="73"/>
        <v>CAGGA</v>
      </c>
      <c r="N354">
        <f t="shared" si="74"/>
        <v>154</v>
      </c>
      <c r="O354">
        <f t="shared" si="75"/>
        <v>2</v>
      </c>
      <c r="P354" t="str">
        <f t="shared" si="79"/>
        <v>AGAGACAGGAGCCTTCGGTGCACAGGAGCGTTTCCTGGGCAG</v>
      </c>
    </row>
    <row r="355" spans="1:16" x14ac:dyDescent="0.25">
      <c r="A355">
        <v>2082484</v>
      </c>
      <c r="B355" t="s">
        <v>40</v>
      </c>
      <c r="C355" t="s">
        <v>371</v>
      </c>
      <c r="E355">
        <f t="shared" si="70"/>
        <v>11</v>
      </c>
      <c r="F355" t="str">
        <f t="shared" si="81"/>
        <v>2082484_chr16:2082509-2082510:G&gt;A</v>
      </c>
      <c r="G355" t="s">
        <v>985</v>
      </c>
      <c r="H355" t="s">
        <v>856</v>
      </c>
      <c r="I355" t="s">
        <v>978</v>
      </c>
      <c r="J355" t="s">
        <v>979</v>
      </c>
      <c r="K355" t="str">
        <f t="shared" si="71"/>
        <v>AGAGACAGGAGCCTTCGGTGATCAGGAGCGTTTCCTGGGCAGGTATCACCTCTCAGAGGGAAGCGGTTGGCTGCAGAGCGCCACTCTGCCTCATAGGTGCTGTGCTCGTCGCCTCATCCGCCCACCCCCATGGTAGGTAGGAGGATAGGCCAGG</v>
      </c>
      <c r="L355" t="str">
        <f t="shared" si="72"/>
        <v>CGGTG</v>
      </c>
      <c r="M355" t="str">
        <f t="shared" si="73"/>
        <v>CAGGA</v>
      </c>
      <c r="N355">
        <f t="shared" si="74"/>
        <v>154</v>
      </c>
      <c r="O355">
        <f t="shared" si="75"/>
        <v>2</v>
      </c>
      <c r="P355" t="str">
        <f t="shared" si="79"/>
        <v>AGAGACAGGAGCCTTCGGTGATCAGGAGCGTTTCCTGGGCAG</v>
      </c>
    </row>
    <row r="356" spans="1:16" x14ac:dyDescent="0.25">
      <c r="A356">
        <v>2082484</v>
      </c>
      <c r="B356" t="s">
        <v>40</v>
      </c>
      <c r="C356" t="s">
        <v>372</v>
      </c>
      <c r="E356">
        <f t="shared" si="70"/>
        <v>11</v>
      </c>
      <c r="F356" t="str">
        <f t="shared" si="81"/>
        <v>2082484_chr16:2082511-2082512:C&gt;G</v>
      </c>
      <c r="G356" t="s">
        <v>1041</v>
      </c>
      <c r="H356" t="s">
        <v>857</v>
      </c>
      <c r="I356" t="s">
        <v>978</v>
      </c>
      <c r="J356" t="s">
        <v>979</v>
      </c>
      <c r="K356" t="str">
        <f t="shared" si="71"/>
        <v>AGAGACAGGAGCCTTCGGTGTGCAGGAGCGTTTCCTGGGCAGGTATCGCGTCTCAGAGGGAAGCGGTTGGCTGCAGAGCGCCACTCTGCCTCATAGGTGCTGTGCTCGTCGCCTCATCCGCCCACCCCCATGGTAGGTAGGAGGATAGGCCAGG</v>
      </c>
      <c r="L356" t="str">
        <f t="shared" si="72"/>
        <v>CGGTG</v>
      </c>
      <c r="M356" t="str">
        <f t="shared" si="73"/>
        <v>CAGGA</v>
      </c>
      <c r="N356">
        <f t="shared" si="74"/>
        <v>154</v>
      </c>
      <c r="O356">
        <f t="shared" si="75"/>
        <v>2</v>
      </c>
      <c r="P356" t="str">
        <f t="shared" si="79"/>
        <v>AGAGACAGGAGCCTTCGGTGTGCAGGAGCGTTTCCTGGGCAG</v>
      </c>
    </row>
    <row r="357" spans="1:16" x14ac:dyDescent="0.25">
      <c r="A357">
        <v>2082484</v>
      </c>
      <c r="B357" t="s">
        <v>40</v>
      </c>
      <c r="C357" t="s">
        <v>373</v>
      </c>
      <c r="E357">
        <f t="shared" si="70"/>
        <v>11</v>
      </c>
      <c r="F357" t="str">
        <f t="shared" si="81"/>
        <v>2082484_chr16:2082514-2082516:TC&gt;-</v>
      </c>
      <c r="G357" s="4" t="s">
        <v>1086</v>
      </c>
      <c r="H357" t="s">
        <v>858</v>
      </c>
      <c r="I357" t="s">
        <v>978</v>
      </c>
      <c r="J357" t="s">
        <v>979</v>
      </c>
      <c r="K357" t="str">
        <f t="shared" si="71"/>
        <v>AGAGACAGGAGCCTTCGGTGTACAGGAGCGTTTCCTGGGCAGGTATCGCCTCAGAGGGAAGCGGTTGGCTGCAGAGCGCCACTCTGCCTCATAGGTGCTGTGCTCGTCGCCTCATCCGCCCACCCCCATGGTAGGTAGGAGGATAGGCCAGG</v>
      </c>
      <c r="L357" t="str">
        <f t="shared" si="72"/>
        <v>CGGTG</v>
      </c>
      <c r="M357" t="str">
        <f t="shared" si="73"/>
        <v>CAGGA</v>
      </c>
      <c r="N357">
        <f t="shared" si="74"/>
        <v>152</v>
      </c>
      <c r="O357">
        <f t="shared" si="75"/>
        <v>2</v>
      </c>
      <c r="P357" t="str">
        <f t="shared" si="79"/>
        <v>AGAGACAGGAGCCTTCGGTGTACAGGAGCGTTTCCTGGGCAG</v>
      </c>
    </row>
    <row r="358" spans="1:16" x14ac:dyDescent="0.25">
      <c r="A358">
        <v>2082484</v>
      </c>
      <c r="B358" t="s">
        <v>40</v>
      </c>
      <c r="C358" t="s">
        <v>374</v>
      </c>
      <c r="E358">
        <f t="shared" si="70"/>
        <v>11</v>
      </c>
      <c r="F358" t="str">
        <f t="shared" si="81"/>
        <v>2082484_chr16:2082516-2082516:-&gt;TC</v>
      </c>
      <c r="G358" s="4" t="s">
        <v>1089</v>
      </c>
      <c r="H358" t="s">
        <v>859</v>
      </c>
      <c r="I358" t="s">
        <v>980</v>
      </c>
      <c r="J358" t="s">
        <v>981</v>
      </c>
      <c r="K358" t="str">
        <f t="shared" si="71"/>
        <v>AGAGACAGGAGCCTTCGGTGAACAGGAGCGTTTCCTGGGCAGGTATCGCCTCTCTCAGAGGGAAGCGGTTGGCTGCAGAGCGCCACTCTGCCTCATAGGTGCTGTGCTCGTCGCCTCATCCGCCCACCCCCATGGTAGGTAGGAGGATAGGCCAGG</v>
      </c>
      <c r="L358" t="str">
        <f t="shared" si="72"/>
        <v>CGGTG</v>
      </c>
      <c r="M358" t="str">
        <f t="shared" si="73"/>
        <v>CAGGA</v>
      </c>
      <c r="N358">
        <f t="shared" si="74"/>
        <v>156</v>
      </c>
      <c r="O358">
        <f t="shared" si="75"/>
        <v>2</v>
      </c>
      <c r="P358" t="str">
        <f t="shared" si="79"/>
        <v>AGAGACAGGAGCCTTCGGTGAACAGGAGCGTTTCCTGGGCAG</v>
      </c>
    </row>
    <row r="359" spans="1:16" x14ac:dyDescent="0.25">
      <c r="A359">
        <v>2082484</v>
      </c>
      <c r="B359" t="s">
        <v>40</v>
      </c>
      <c r="C359" t="s">
        <v>375</v>
      </c>
      <c r="E359">
        <f t="shared" si="70"/>
        <v>11</v>
      </c>
      <c r="F359" t="str">
        <f t="shared" si="81"/>
        <v>2082484_chr16:2082518-2082520:AG&gt;-</v>
      </c>
      <c r="G359" t="s">
        <v>988</v>
      </c>
      <c r="H359" t="s">
        <v>860</v>
      </c>
      <c r="I359" t="s">
        <v>978</v>
      </c>
      <c r="J359" t="s">
        <v>981</v>
      </c>
      <c r="K359" t="str">
        <f t="shared" si="71"/>
        <v>AGAGACAGGAGCCTTCGGTGACCAGGAGCGTTTCCTGGGCAGGTATCGCCTCTCAGGGAAGCGGTTGGCTGCAGAGCGCCACTCTGCCTCATAGGTGCTGTGCTCGTCGCCTCATCCGCCCACCCCCATGGTAGGTAGGAGGATAGGCCAGG</v>
      </c>
      <c r="L359" t="str">
        <f t="shared" si="72"/>
        <v>CGGTG</v>
      </c>
      <c r="M359" t="str">
        <f t="shared" si="73"/>
        <v>CAGGA</v>
      </c>
      <c r="N359">
        <f t="shared" si="74"/>
        <v>152</v>
      </c>
      <c r="O359">
        <f t="shared" si="75"/>
        <v>2</v>
      </c>
      <c r="P359" t="str">
        <f t="shared" si="79"/>
        <v>AGAGACAGGAGCCTTCGGTGACCAGGAGCGTTTCCTGGGCAG</v>
      </c>
    </row>
    <row r="360" spans="1:16" x14ac:dyDescent="0.25">
      <c r="A360">
        <v>2082484</v>
      </c>
      <c r="B360" t="s">
        <v>40</v>
      </c>
      <c r="C360" t="s">
        <v>376</v>
      </c>
      <c r="E360">
        <f t="shared" si="70"/>
        <v>11</v>
      </c>
      <c r="F360" t="str">
        <f t="shared" si="81"/>
        <v>2082484_chr16:2082540-2082541:C&gt;T</v>
      </c>
      <c r="G360" t="s">
        <v>989</v>
      </c>
      <c r="H360" t="s">
        <v>861</v>
      </c>
      <c r="I360" t="s">
        <v>978</v>
      </c>
      <c r="J360" t="s">
        <v>979</v>
      </c>
      <c r="K360" t="str">
        <f t="shared" si="71"/>
        <v>AGAGACAGGAGCCTTCGGTGCGCAGGAGCGTTTCCTGGGCAGGTATCGCCTCTCAGAGGGAAGCGGTTGGCTGCAGAGTGCCACTCTGCCTCATAGGTGCTGTGCTCGTCGCCTCATCCGCCCACCCCCATGGTAGGTAGGAGGATAGGCCAGG</v>
      </c>
      <c r="L360" t="str">
        <f t="shared" si="72"/>
        <v>CGGTG</v>
      </c>
      <c r="M360" t="str">
        <f t="shared" si="73"/>
        <v>CAGGA</v>
      </c>
      <c r="N360">
        <f t="shared" si="74"/>
        <v>154</v>
      </c>
      <c r="O360">
        <f t="shared" si="75"/>
        <v>2</v>
      </c>
      <c r="P360" t="str">
        <f t="shared" si="79"/>
        <v>AGAGACAGGAGCCTTCGGTGCGCAGGAGCGTTTCCTGGGCAG</v>
      </c>
    </row>
    <row r="361" spans="1:16" x14ac:dyDescent="0.25">
      <c r="A361">
        <v>2082484</v>
      </c>
      <c r="B361" t="s">
        <v>40</v>
      </c>
      <c r="C361" t="s">
        <v>377</v>
      </c>
      <c r="E361">
        <f t="shared" si="70"/>
        <v>11</v>
      </c>
      <c r="F361" t="str">
        <f t="shared" si="81"/>
        <v>2082484_chr16:2082544-2082545:A&gt;G</v>
      </c>
      <c r="G361" t="s">
        <v>990</v>
      </c>
      <c r="H361" t="s">
        <v>862</v>
      </c>
      <c r="I361" t="s">
        <v>978</v>
      </c>
      <c r="J361" t="s">
        <v>979</v>
      </c>
      <c r="K361" t="str">
        <f t="shared" si="71"/>
        <v>AGAGACAGGAGCCTTCGGTGGTCAGGAGCGTTTCCTGGGCAGGTATCGCCTCTCAGAGGGAAGCGGTTGGCTGCAGAGCGCCGCTCTGCCTCATAGGTGCTGTGCTCGTCGCCTCATCCGCCCACCCCCATGGTAGGTAGGAGGATAGGCCAGG</v>
      </c>
      <c r="L361" t="str">
        <f t="shared" si="72"/>
        <v>CGGTG</v>
      </c>
      <c r="M361" t="str">
        <f t="shared" si="73"/>
        <v>CAGGA</v>
      </c>
      <c r="N361">
        <f t="shared" si="74"/>
        <v>154</v>
      </c>
      <c r="O361">
        <f t="shared" si="75"/>
        <v>2</v>
      </c>
      <c r="P361" t="str">
        <f t="shared" si="79"/>
        <v>AGAGACAGGAGCCTTCGGTGGTCAGGAGCGTTTCCTGGGCAG</v>
      </c>
    </row>
    <row r="362" spans="1:16" x14ac:dyDescent="0.25">
      <c r="A362">
        <v>2082484</v>
      </c>
      <c r="B362" t="s">
        <v>40</v>
      </c>
      <c r="C362" t="s">
        <v>378</v>
      </c>
      <c r="E362">
        <f t="shared" si="70"/>
        <v>11</v>
      </c>
      <c r="F362" t="str">
        <f t="shared" si="81"/>
        <v>2082484_chr16:2082579-2082580:C&gt;A</v>
      </c>
      <c r="G362" t="s">
        <v>991</v>
      </c>
      <c r="H362" t="s">
        <v>863</v>
      </c>
      <c r="I362" t="s">
        <v>978</v>
      </c>
      <c r="J362" t="s">
        <v>979</v>
      </c>
      <c r="K362" t="str">
        <f t="shared" si="71"/>
        <v>AGAGACAGGAGCCTTCGGTGGACAGGAGCGTTTCCTGGGCAGGTATCGCCTCTCAGAGGGAAGCGGTTGGCTGCAGAGCGCCACTCTGCCTCATAGGTGCTGTGCTCGTCGCCTCATACGCCCACCCCCATGGTAGGTAGGAGGATAGGCCAGG</v>
      </c>
      <c r="L362" t="str">
        <f t="shared" si="72"/>
        <v>CGGTG</v>
      </c>
      <c r="M362" t="str">
        <f t="shared" si="73"/>
        <v>CAGGA</v>
      </c>
      <c r="N362">
        <f t="shared" si="74"/>
        <v>154</v>
      </c>
      <c r="O362">
        <f t="shared" si="75"/>
        <v>2</v>
      </c>
      <c r="P362" t="str">
        <f t="shared" si="79"/>
        <v>AGAGACAGGAGCCTTCGGTGGACAGGAGCGTTTCCTGGGCAG</v>
      </c>
    </row>
    <row r="363" spans="1:16" x14ac:dyDescent="0.25">
      <c r="A363">
        <v>2082484</v>
      </c>
      <c r="B363" t="s">
        <v>40</v>
      </c>
      <c r="C363" t="s">
        <v>379</v>
      </c>
      <c r="E363">
        <f t="shared" si="70"/>
        <v>11</v>
      </c>
      <c r="F363" t="str">
        <f t="shared" si="81"/>
        <v>2082484_chr16:2082581-2082582:G&gt;A</v>
      </c>
      <c r="G363" t="s">
        <v>992</v>
      </c>
      <c r="H363" t="s">
        <v>864</v>
      </c>
      <c r="I363" t="s">
        <v>978</v>
      </c>
      <c r="J363" t="s">
        <v>979</v>
      </c>
      <c r="K363" t="str">
        <f t="shared" si="71"/>
        <v>AGAGACAGGAGCCTTCGGTGTCCAGGAGCGTTTCCTGGGCAGGTATCGCCTCTCAGAGGGAAGCGGTTGGCTGCAGAGCGCCACTCTGCCTCATAGGTGCTGTGCTCGTCGCCTCATCCACCCACCCCCATGGTAGGTAGGAGGATAGGCCAGG</v>
      </c>
      <c r="L363" t="str">
        <f t="shared" si="72"/>
        <v>CGGTG</v>
      </c>
      <c r="M363" t="str">
        <f t="shared" si="73"/>
        <v>CAGGA</v>
      </c>
      <c r="N363">
        <f t="shared" si="74"/>
        <v>154</v>
      </c>
      <c r="O363">
        <f t="shared" si="75"/>
        <v>2</v>
      </c>
      <c r="P363" t="str">
        <f t="shared" si="79"/>
        <v>AGAGACAGGAGCCTTCGGTGTCCAGGAGCGTTTCCTGGGCAG</v>
      </c>
    </row>
    <row r="364" spans="1:16" x14ac:dyDescent="0.25">
      <c r="A364">
        <v>2083796</v>
      </c>
      <c r="B364" t="s">
        <v>41</v>
      </c>
      <c r="C364" t="s">
        <v>380</v>
      </c>
      <c r="D364" t="s">
        <v>534</v>
      </c>
      <c r="E364">
        <f t="shared" si="70"/>
        <v>6</v>
      </c>
      <c r="F364" t="str">
        <f>(A364&amp;"_"&amp;D364)</f>
        <v>2083796_wt</v>
      </c>
      <c r="G364" t="s">
        <v>1011</v>
      </c>
      <c r="H364" t="s">
        <v>525</v>
      </c>
      <c r="I364" t="s">
        <v>978</v>
      </c>
      <c r="J364" t="s">
        <v>979</v>
      </c>
      <c r="K364" t="str">
        <f t="shared" si="71"/>
        <v>AGAGACAGGAGCCTTCGGTGTGGCACGGATGCCTACAGCAGGGTGAGTGTGGCTCAGAGCCTGGACCCTGCTGACCTCGGGGGGCTCCTTAGGGGAGGCAGGGCTCTGCGTGGGTGTGCCTGCACCCTGGGAACAGGTAGGAGGATAGGCCAGG</v>
      </c>
      <c r="L364" t="str">
        <f t="shared" si="72"/>
        <v>CGGTG</v>
      </c>
      <c r="M364" t="str">
        <f t="shared" si="73"/>
        <v>GCACG</v>
      </c>
      <c r="N364">
        <f t="shared" si="74"/>
        <v>154</v>
      </c>
      <c r="O364">
        <f t="shared" si="75"/>
        <v>2</v>
      </c>
      <c r="P364" t="str">
        <f t="shared" si="79"/>
        <v>AGAGACAGGAGCCTTCGGTGTGGCACGGATGCCTACAGCAGG</v>
      </c>
    </row>
    <row r="365" spans="1:16" x14ac:dyDescent="0.25">
      <c r="A365">
        <v>2083796</v>
      </c>
      <c r="B365" t="s">
        <v>41</v>
      </c>
      <c r="C365" t="s">
        <v>380</v>
      </c>
      <c r="E365">
        <f t="shared" si="70"/>
        <v>6</v>
      </c>
      <c r="F365" t="str">
        <f>(A365&amp;"_"&amp;C365)</f>
        <v>2083796_chr16:2083816-2083817:G&gt;A</v>
      </c>
      <c r="G365" s="4" t="s">
        <v>1090</v>
      </c>
      <c r="H365" t="s">
        <v>865</v>
      </c>
      <c r="I365" t="s">
        <v>978</v>
      </c>
      <c r="J365" t="s">
        <v>979</v>
      </c>
      <c r="K365" t="str">
        <f t="shared" si="71"/>
        <v>AGAGACAGGAGCCTTCGGTGATGCACGGATGCCTACAGCAGGATGAGTGTGGCTCAGAGCCTGGACCCTGCTGACCTCGGGGGGCTCCTTAGGGGAGGCAGGGCTCTGCGTGGGTGTGCCTGCACCCTGGGAACAGGTAGGAGGATAGGCCAGG</v>
      </c>
      <c r="L365" t="str">
        <f t="shared" si="72"/>
        <v>CGGTG</v>
      </c>
      <c r="M365" t="str">
        <f t="shared" si="73"/>
        <v>GCACG</v>
      </c>
      <c r="N365">
        <f t="shared" si="74"/>
        <v>154</v>
      </c>
      <c r="O365">
        <f t="shared" si="75"/>
        <v>2</v>
      </c>
      <c r="P365" t="str">
        <f t="shared" si="79"/>
        <v>AGAGACAGGAGCCTTCGGTGATGCACGGATGCCTACAGCAGG</v>
      </c>
    </row>
    <row r="366" spans="1:16" x14ac:dyDescent="0.25">
      <c r="A366">
        <v>2083796</v>
      </c>
      <c r="B366" t="s">
        <v>41</v>
      </c>
      <c r="C366" t="s">
        <v>381</v>
      </c>
      <c r="E366">
        <f t="shared" si="70"/>
        <v>6</v>
      </c>
      <c r="F366" t="str">
        <f>(A366&amp;"_"&amp;C366)</f>
        <v>2083796_chr16:2083816-2083817:G&gt;T</v>
      </c>
      <c r="G366" t="s">
        <v>987</v>
      </c>
      <c r="H366" t="s">
        <v>866</v>
      </c>
      <c r="I366" t="s">
        <v>978</v>
      </c>
      <c r="J366" t="s">
        <v>979</v>
      </c>
      <c r="K366" t="str">
        <f t="shared" si="71"/>
        <v>AGAGACAGGAGCCTTCGGTGGCGCACGGATGCCTACAGCAGGTTGAGTGTGGCTCAGAGCCTGGACCCTGCTGACCTCGGGGGGCTCCTTAGGGGAGGCAGGGCTCTGCGTGGGTGTGCCTGCACCCTGGGAACAGGTAGGAGGATAGGCCAGG</v>
      </c>
      <c r="L366" t="str">
        <f t="shared" si="72"/>
        <v>CGGTG</v>
      </c>
      <c r="M366" t="str">
        <f t="shared" si="73"/>
        <v>GCACG</v>
      </c>
      <c r="N366">
        <f t="shared" si="74"/>
        <v>154</v>
      </c>
      <c r="O366">
        <f t="shared" si="75"/>
        <v>2</v>
      </c>
      <c r="P366" t="str">
        <f t="shared" si="79"/>
        <v>AGAGACAGGAGCCTTCGGTGGCGCACGGATGCCTACAGCAGG</v>
      </c>
    </row>
    <row r="367" spans="1:16" x14ac:dyDescent="0.25">
      <c r="A367">
        <v>2083796</v>
      </c>
      <c r="B367" t="s">
        <v>41</v>
      </c>
      <c r="C367" t="s">
        <v>382</v>
      </c>
      <c r="E367">
        <f t="shared" si="70"/>
        <v>6</v>
      </c>
      <c r="F367" t="str">
        <f>(A367&amp;"_"&amp;C367)</f>
        <v>2083796_chr16:2083817-2083818:T&gt;A</v>
      </c>
      <c r="G367" t="s">
        <v>988</v>
      </c>
      <c r="H367" t="s">
        <v>867</v>
      </c>
      <c r="I367" t="s">
        <v>978</v>
      </c>
      <c r="J367" t="s">
        <v>979</v>
      </c>
      <c r="K367" t="str">
        <f t="shared" si="71"/>
        <v>AGAGACAGGAGCCTTCGGTGACGCACGGATGCCTACAGCAGGGAGAGTGTGGCTCAGAGCCTGGACCCTGCTGACCTCGGGGGGCTCCTTAGGGGAGGCAGGGCTCTGCGTGGGTGTGCCTGCACCCTGGGAACAGGTAGGAGGATAGGCCAGG</v>
      </c>
      <c r="L367" t="str">
        <f t="shared" si="72"/>
        <v>CGGTG</v>
      </c>
      <c r="M367" t="str">
        <f t="shared" si="73"/>
        <v>GCACG</v>
      </c>
      <c r="N367">
        <f t="shared" si="74"/>
        <v>154</v>
      </c>
      <c r="O367">
        <f t="shared" si="75"/>
        <v>2</v>
      </c>
      <c r="P367" t="str">
        <f t="shared" si="79"/>
        <v>AGAGACAGGAGCCTTCGGTGACGCACGGATGCCTACAGCAGG</v>
      </c>
    </row>
    <row r="368" spans="1:16" x14ac:dyDescent="0.25">
      <c r="A368">
        <v>2083796</v>
      </c>
      <c r="B368" t="s">
        <v>41</v>
      </c>
      <c r="C368" t="s">
        <v>383</v>
      </c>
      <c r="E368">
        <f t="shared" si="70"/>
        <v>6</v>
      </c>
      <c r="F368" t="str">
        <f>(A368&amp;"_"&amp;C368)</f>
        <v>2083796_chr16:2083823-2083823:-&gt;AGTG</v>
      </c>
      <c r="G368" t="s">
        <v>989</v>
      </c>
      <c r="H368" t="s">
        <v>868</v>
      </c>
      <c r="I368" t="s">
        <v>978</v>
      </c>
      <c r="J368" t="s">
        <v>979</v>
      </c>
      <c r="K368" t="str">
        <f t="shared" si="71"/>
        <v>AGAGACAGGAGCCTTCGGTGCGGCACGGATGCCTACAGCAGGGTGAGTGAGTGTGGCTCAGAGCCTGGACCCTGCTGACCTCGGGGGGCTCCTTAGGGGAGGCAGGGCTCTGCGTGGGTGTGCCTGCACCCTGGGAACAGGTAGGAGGATAGGCCAGG</v>
      </c>
      <c r="L368" t="str">
        <f t="shared" si="72"/>
        <v>CGGTG</v>
      </c>
      <c r="M368" t="str">
        <f t="shared" si="73"/>
        <v>GCACG</v>
      </c>
      <c r="N368">
        <f t="shared" si="74"/>
        <v>158</v>
      </c>
      <c r="O368">
        <f t="shared" si="75"/>
        <v>2</v>
      </c>
      <c r="P368" t="str">
        <f t="shared" si="79"/>
        <v>AGAGACAGGAGCCTTCGGTGCGGCACGGATGCCTACAGCAGG</v>
      </c>
    </row>
    <row r="369" spans="1:16" x14ac:dyDescent="0.25">
      <c r="A369">
        <v>2083796</v>
      </c>
      <c r="B369" t="s">
        <v>41</v>
      </c>
      <c r="C369" t="s">
        <v>384</v>
      </c>
      <c r="E369">
        <f t="shared" si="70"/>
        <v>6</v>
      </c>
      <c r="F369" t="str">
        <f>(A369&amp;"_"&amp;C369)</f>
        <v>2083796_chr16:2083832-2083833:G&gt;A</v>
      </c>
      <c r="G369" t="s">
        <v>990</v>
      </c>
      <c r="H369" t="s">
        <v>869</v>
      </c>
      <c r="I369" t="s">
        <v>978</v>
      </c>
      <c r="J369" t="s">
        <v>979</v>
      </c>
      <c r="K369" t="str">
        <f t="shared" si="71"/>
        <v>AGAGACAGGAGCCTTCGGTGGTGCACGGATGCCTACAGCAGGGTGAGTGTGGCTCAGAACCTGGACCCTGCTGACCTCGGGGGGCTCCTTAGGGGAGGCAGGGCTCTGCGTGGGTGTGCCTGCACCCTGGGAACAGGTAGGAGGATAGGCCAGG</v>
      </c>
      <c r="L369" t="str">
        <f t="shared" si="72"/>
        <v>CGGTG</v>
      </c>
      <c r="M369" t="str">
        <f t="shared" si="73"/>
        <v>GCACG</v>
      </c>
      <c r="N369">
        <f t="shared" si="74"/>
        <v>154</v>
      </c>
      <c r="O369">
        <f t="shared" si="75"/>
        <v>2</v>
      </c>
      <c r="P369" t="str">
        <f t="shared" si="79"/>
        <v>AGAGACAGGAGCCTTCGGTGGTGCACGGATGCCTACAGCAGG</v>
      </c>
    </row>
    <row r="370" spans="1:16" x14ac:dyDescent="0.25">
      <c r="A370">
        <v>2084695</v>
      </c>
      <c r="B370" t="s">
        <v>42</v>
      </c>
      <c r="C370" t="s">
        <v>385</v>
      </c>
      <c r="D370" t="s">
        <v>534</v>
      </c>
      <c r="E370">
        <f t="shared" si="70"/>
        <v>14</v>
      </c>
      <c r="F370" t="str">
        <f>(A370&amp;"_"&amp;D370)</f>
        <v>2084695_wt</v>
      </c>
      <c r="G370" s="1" t="s">
        <v>1002</v>
      </c>
      <c r="H370" t="s">
        <v>526</v>
      </c>
      <c r="I370" t="s">
        <v>978</v>
      </c>
      <c r="J370" t="s">
        <v>979</v>
      </c>
      <c r="K370" t="str">
        <f t="shared" si="71"/>
        <v>AGAGACAGGAGCCTTCGGTGTGCGTGCCAGGCATCAACCCCAGGTGGGCCTCTTGCTTCCGGGCGGGGCTCCTGACACCTCTCCTGCGGGAACCTGGTGCCTCACTTGCCCCAGGCCGAGCGGGCTGGGGTGGGGAGGTAGGAGGATAGGCCAGG</v>
      </c>
      <c r="L370" t="str">
        <f t="shared" si="72"/>
        <v>CGGTG</v>
      </c>
      <c r="M370" t="str">
        <f t="shared" si="73"/>
        <v>GTGCC</v>
      </c>
      <c r="N370">
        <f t="shared" si="74"/>
        <v>155</v>
      </c>
      <c r="O370">
        <f t="shared" si="75"/>
        <v>3</v>
      </c>
      <c r="P370" t="str">
        <f t="shared" ref="P370:P425" si="82">LEFT(K370,43)</f>
        <v>AGAGACAGGAGCCTTCGGTGTGCGTGCCAGGCATCAACCCCAG</v>
      </c>
    </row>
    <row r="371" spans="1:16" x14ac:dyDescent="0.25">
      <c r="A371">
        <v>2084695</v>
      </c>
      <c r="B371" t="s">
        <v>42</v>
      </c>
      <c r="C371" t="s">
        <v>385</v>
      </c>
      <c r="E371">
        <f t="shared" si="70"/>
        <v>14</v>
      </c>
      <c r="F371" t="str">
        <f t="shared" ref="F371:F383" si="83">(A371&amp;"_"&amp;C371)</f>
        <v>2084695_chr16:2084715-2084716:G&gt;-</v>
      </c>
      <c r="G371" s="5" t="s">
        <v>1091</v>
      </c>
      <c r="H371" t="s">
        <v>870</v>
      </c>
      <c r="I371" t="s">
        <v>978</v>
      </c>
      <c r="J371" t="s">
        <v>979</v>
      </c>
      <c r="K371" t="str">
        <f t="shared" si="71"/>
        <v>AGAGACAGGAGCCTTCGGTGTGAGTGCCAGGCATCAACCCCAGTGGGCCTCTTGCTTCCGGGCGGGGCTCCTGACACCTCTCCTGCGGGAACCTGGTGCCTCACTTGCCCCAGGCCGAGCGGGCTGGGGTGGGGAGGTAGGAGGATAGGCCAGG</v>
      </c>
      <c r="L371" t="str">
        <f t="shared" si="72"/>
        <v>CGGTG</v>
      </c>
      <c r="M371" t="str">
        <f t="shared" si="73"/>
        <v>GTGCC</v>
      </c>
      <c r="N371">
        <f t="shared" si="74"/>
        <v>154</v>
      </c>
      <c r="O371">
        <f t="shared" si="75"/>
        <v>3</v>
      </c>
      <c r="P371" t="str">
        <f t="shared" si="82"/>
        <v>AGAGACAGGAGCCTTCGGTGTGAGTGCCAGGCATCAACCCCAG</v>
      </c>
    </row>
    <row r="372" spans="1:16" x14ac:dyDescent="0.25">
      <c r="A372">
        <v>2084695</v>
      </c>
      <c r="B372" t="s">
        <v>42</v>
      </c>
      <c r="C372" t="s">
        <v>386</v>
      </c>
      <c r="E372">
        <f t="shared" si="70"/>
        <v>14</v>
      </c>
      <c r="F372" t="str">
        <f t="shared" si="83"/>
        <v>2084695_chr16:2084715-2084716:G&gt;A</v>
      </c>
      <c r="G372" s="1" t="s">
        <v>1024</v>
      </c>
      <c r="H372" t="s">
        <v>871</v>
      </c>
      <c r="I372" t="s">
        <v>978</v>
      </c>
      <c r="J372" t="s">
        <v>981</v>
      </c>
      <c r="K372" t="str">
        <f t="shared" si="71"/>
        <v>AGAGACAGGAGCCTTCGGTGACGGTGCCAGGCATCAACCCCAGATGGGCCTCTTGCTTCCGGGCGGGGCTCCTGACACCTCTCCTGCGGGAACCTGGTGCCTCACTTGCCCCAGGCCGAGCGGGCTGGGGTGGGGAGGTAGGAGGATAGGCCAGG</v>
      </c>
      <c r="L372" t="str">
        <f t="shared" si="72"/>
        <v>CGGTG</v>
      </c>
      <c r="M372" t="str">
        <f t="shared" si="73"/>
        <v>GTGCC</v>
      </c>
      <c r="N372">
        <f t="shared" si="74"/>
        <v>155</v>
      </c>
      <c r="O372">
        <f t="shared" si="75"/>
        <v>3</v>
      </c>
      <c r="P372" t="str">
        <f t="shared" si="82"/>
        <v>AGAGACAGGAGCCTTCGGTGACGGTGCCAGGCATCAACCCCAG</v>
      </c>
    </row>
    <row r="373" spans="1:16" x14ac:dyDescent="0.25">
      <c r="A373">
        <v>2084695</v>
      </c>
      <c r="B373" t="s">
        <v>42</v>
      </c>
      <c r="C373" t="s">
        <v>387</v>
      </c>
      <c r="E373">
        <f t="shared" si="70"/>
        <v>14</v>
      </c>
      <c r="F373" t="str">
        <f t="shared" si="83"/>
        <v>2084695_chr16:2084715-2084716:G&gt;T</v>
      </c>
      <c r="G373" s="1" t="s">
        <v>1025</v>
      </c>
      <c r="H373" t="s">
        <v>872</v>
      </c>
      <c r="I373" t="s">
        <v>978</v>
      </c>
      <c r="J373" t="s">
        <v>979</v>
      </c>
      <c r="K373" t="str">
        <f t="shared" si="71"/>
        <v>AGAGACAGGAGCCTTCGGTGTCAGTGCCAGGCATCAACCCCAGTTGGGCCTCTTGCTTCCGGGCGGGGCTCCTGACACCTCTCCTGCGGGAACCTGGTGCCTCACTTGCCCCAGGCCGAGCGGGCTGGGGTGGGGAGGTAGGAGGATAGGCCAGG</v>
      </c>
      <c r="L373" t="str">
        <f t="shared" si="72"/>
        <v>CGGTG</v>
      </c>
      <c r="M373" t="str">
        <f t="shared" si="73"/>
        <v>GTGCC</v>
      </c>
      <c r="N373">
        <f t="shared" si="74"/>
        <v>155</v>
      </c>
      <c r="O373">
        <f t="shared" si="75"/>
        <v>3</v>
      </c>
      <c r="P373" t="str">
        <f t="shared" si="82"/>
        <v>AGAGACAGGAGCCTTCGGTGTCAGTGCCAGGCATCAACCCCAG</v>
      </c>
    </row>
    <row r="374" spans="1:16" x14ac:dyDescent="0.25">
      <c r="A374">
        <v>2084695</v>
      </c>
      <c r="B374" t="s">
        <v>42</v>
      </c>
      <c r="C374" t="s">
        <v>388</v>
      </c>
      <c r="E374">
        <f t="shared" si="70"/>
        <v>14</v>
      </c>
      <c r="F374" t="str">
        <f t="shared" si="83"/>
        <v>2084695_chr16:2084716-2084717:T&gt;A</v>
      </c>
      <c r="G374" s="1" t="s">
        <v>1047</v>
      </c>
      <c r="H374" t="s">
        <v>873</v>
      </c>
      <c r="I374" t="s">
        <v>978</v>
      </c>
      <c r="J374" t="s">
        <v>981</v>
      </c>
      <c r="K374" t="str">
        <f t="shared" si="71"/>
        <v>AGAGACAGGAGCCTTCGGTGATCGTGCCAGGCATCAACCCCAGGAGGGCCTCTTGCTTCCGGGCGGGGCTCCTGACACCTCTCCTGCGGGAACCTGGTGCCTCACTTGCCCCAGGCCGAGCGGGCTGGGGTGGGGAGGTAGGAGGATAGGCCAGG</v>
      </c>
      <c r="L374" t="str">
        <f t="shared" si="72"/>
        <v>CGGTG</v>
      </c>
      <c r="M374" t="str">
        <f t="shared" si="73"/>
        <v>GTGCC</v>
      </c>
      <c r="N374">
        <f t="shared" si="74"/>
        <v>155</v>
      </c>
      <c r="O374">
        <f t="shared" si="75"/>
        <v>3</v>
      </c>
      <c r="P374" t="str">
        <f t="shared" si="82"/>
        <v>AGAGACAGGAGCCTTCGGTGATCGTGCCAGGCATCAACCCCAG</v>
      </c>
    </row>
    <row r="375" spans="1:16" x14ac:dyDescent="0.25">
      <c r="A375">
        <v>2084695</v>
      </c>
      <c r="B375" t="s">
        <v>42</v>
      </c>
      <c r="C375" t="s">
        <v>389</v>
      </c>
      <c r="E375">
        <f t="shared" si="70"/>
        <v>14</v>
      </c>
      <c r="F375" t="str">
        <f t="shared" si="83"/>
        <v>2084695_chr16:2084716-2084717:T&gt;C</v>
      </c>
      <c r="G375" s="1" t="s">
        <v>1027</v>
      </c>
      <c r="H375" t="s">
        <v>874</v>
      </c>
      <c r="I375" t="s">
        <v>978</v>
      </c>
      <c r="J375" t="s">
        <v>979</v>
      </c>
      <c r="K375" t="str">
        <f t="shared" si="71"/>
        <v>AGAGACAGGAGCCTTCGGTGGTGGTGCCAGGCATCAACCCCAGGCGGGCCTCTTGCTTCCGGGCGGGGCTCCTGACACCTCTCCTGCGGGAACCTGGTGCCTCACTTGCCCCAGGCCGAGCGGGCTGGGGTGGGGAGGTAGGAGGATAGGCCAGG</v>
      </c>
      <c r="L375" t="str">
        <f t="shared" si="72"/>
        <v>CGGTG</v>
      </c>
      <c r="M375" t="str">
        <f t="shared" si="73"/>
        <v>GTGCC</v>
      </c>
      <c r="N375">
        <f t="shared" si="74"/>
        <v>155</v>
      </c>
      <c r="O375">
        <f t="shared" si="75"/>
        <v>3</v>
      </c>
      <c r="P375" t="str">
        <f t="shared" si="82"/>
        <v>AGAGACAGGAGCCTTCGGTGGTGGTGCCAGGCATCAACCCCAG</v>
      </c>
    </row>
    <row r="376" spans="1:16" x14ac:dyDescent="0.25">
      <c r="A376">
        <v>2084695</v>
      </c>
      <c r="B376" t="s">
        <v>42</v>
      </c>
      <c r="C376" t="s">
        <v>390</v>
      </c>
      <c r="E376">
        <f t="shared" si="70"/>
        <v>14</v>
      </c>
      <c r="F376" t="str">
        <f t="shared" si="83"/>
        <v>2084695_chr16:2084720-2084721:C&gt;T</v>
      </c>
      <c r="G376" s="1" t="s">
        <v>1028</v>
      </c>
      <c r="H376" t="s">
        <v>875</v>
      </c>
      <c r="I376" t="s">
        <v>980</v>
      </c>
      <c r="J376" t="s">
        <v>979</v>
      </c>
      <c r="K376" t="str">
        <f t="shared" si="71"/>
        <v>AGAGACAGGAGCCTTCGGTGCAGGTGCCAGGCATCAACCCCAGGTGGGTCTCTTGCTTCCGGGCGGGGCTCCTGACACCTCTCCTGCGGGAACCTGGTGCCTCACTTGCCCCAGGCCGAGCGGGCTGGGGTGGGGAGGTAGGAGGATAGGCCAGG</v>
      </c>
      <c r="L376" t="str">
        <f t="shared" si="72"/>
        <v>CGGTG</v>
      </c>
      <c r="M376" t="str">
        <f t="shared" si="73"/>
        <v>GTGCC</v>
      </c>
      <c r="N376">
        <f t="shared" si="74"/>
        <v>155</v>
      </c>
      <c r="O376">
        <f t="shared" si="75"/>
        <v>3</v>
      </c>
      <c r="P376" t="str">
        <f t="shared" si="82"/>
        <v>AGAGACAGGAGCCTTCGGTGCAGGTGCCAGGCATCAACCCCAG</v>
      </c>
    </row>
    <row r="377" spans="1:16" x14ac:dyDescent="0.25">
      <c r="A377">
        <v>2084695</v>
      </c>
      <c r="B377" t="s">
        <v>42</v>
      </c>
      <c r="C377" t="s">
        <v>391</v>
      </c>
      <c r="E377">
        <f t="shared" si="70"/>
        <v>14</v>
      </c>
      <c r="F377" t="str">
        <f t="shared" si="83"/>
        <v>2084695_chr16:2084721-2084722:C&gt;A</v>
      </c>
      <c r="G377" s="5" t="s">
        <v>1092</v>
      </c>
      <c r="H377" t="s">
        <v>876</v>
      </c>
      <c r="I377" t="s">
        <v>978</v>
      </c>
      <c r="J377" t="s">
        <v>979</v>
      </c>
      <c r="K377" t="str">
        <f t="shared" si="71"/>
        <v>AGAGACAGGAGCCTTCGGTGGAGGTGCCAGGCATCAACCCCAGGTGGGCATCTTGCTTCCGGGCGGGGCTCCTGACACCTCTCCTGCGGGAACCTGGTGCCTCACTTGCCCCAGGCCGAGCGGGCTGGGGTGGGGAGGTAGGAGGATAGGCCAGG</v>
      </c>
      <c r="L377" t="str">
        <f t="shared" si="72"/>
        <v>CGGTG</v>
      </c>
      <c r="M377" t="str">
        <f t="shared" si="73"/>
        <v>GTGCC</v>
      </c>
      <c r="N377">
        <f t="shared" si="74"/>
        <v>155</v>
      </c>
      <c r="O377">
        <f t="shared" si="75"/>
        <v>3</v>
      </c>
      <c r="P377" t="str">
        <f t="shared" si="82"/>
        <v>AGAGACAGGAGCCTTCGGTGGAGGTGCCAGGCATCAACCCCAG</v>
      </c>
    </row>
    <row r="378" spans="1:16" x14ac:dyDescent="0.25">
      <c r="A378">
        <v>2084695</v>
      </c>
      <c r="B378" t="s">
        <v>42</v>
      </c>
      <c r="C378" t="s">
        <v>392</v>
      </c>
      <c r="E378">
        <f t="shared" si="70"/>
        <v>14</v>
      </c>
      <c r="F378" t="str">
        <f t="shared" si="83"/>
        <v>2084695_chr16:2084724-2084725:T&gt;C</v>
      </c>
      <c r="G378" s="1" t="s">
        <v>1030</v>
      </c>
      <c r="H378" t="s">
        <v>877</v>
      </c>
      <c r="I378" t="s">
        <v>978</v>
      </c>
      <c r="J378" t="s">
        <v>979</v>
      </c>
      <c r="K378" t="str">
        <f t="shared" si="71"/>
        <v>AGAGACAGGAGCCTTCGGTGAGAGTGCCAGGCATCAACCCCAGGTGGGCCTCCTGCTTCCGGGCGGGGCTCCTGACACCTCTCCTGCGGGAACCTGGTGCCTCACTTGCCCCAGGCCGAGCGGGCTGGGGTGGGGAGGTAGGAGGATAGGCCAGG</v>
      </c>
      <c r="L378" t="str">
        <f t="shared" si="72"/>
        <v>CGGTG</v>
      </c>
      <c r="M378" t="str">
        <f t="shared" si="73"/>
        <v>GTGCC</v>
      </c>
      <c r="N378">
        <f t="shared" si="74"/>
        <v>155</v>
      </c>
      <c r="O378">
        <f t="shared" si="75"/>
        <v>3</v>
      </c>
      <c r="P378" t="str">
        <f t="shared" si="82"/>
        <v>AGAGACAGGAGCCTTCGGTGAGAGTGCCAGGCATCAACCCCAG</v>
      </c>
    </row>
    <row r="379" spans="1:16" x14ac:dyDescent="0.25">
      <c r="A379">
        <v>2084695</v>
      </c>
      <c r="B379" t="s">
        <v>42</v>
      </c>
      <c r="C379" t="s">
        <v>393</v>
      </c>
      <c r="E379">
        <f t="shared" si="70"/>
        <v>14</v>
      </c>
      <c r="F379" t="str">
        <f t="shared" si="83"/>
        <v>2084695_chr16:2084730-2084731:C&gt;G</v>
      </c>
      <c r="G379" s="1" t="s">
        <v>1031</v>
      </c>
      <c r="H379" t="s">
        <v>878</v>
      </c>
      <c r="I379" t="s">
        <v>978</v>
      </c>
      <c r="J379" t="s">
        <v>979</v>
      </c>
      <c r="K379" t="str">
        <f t="shared" si="71"/>
        <v>AGAGACAGGAGCCTTCGGTGATGGTGCCAGGCATCAACCCCAGGTGGGCCTCTTGCTTGCGGGCGGGGCTCCTGACACCTCTCCTGCGGGAACCTGGTGCCTCACTTGCCCCAGGCCGAGCGGGCTGGGGTGGGGAGGTAGGAGGATAGGCCAGG</v>
      </c>
      <c r="L379" t="str">
        <f t="shared" si="72"/>
        <v>CGGTG</v>
      </c>
      <c r="M379" t="str">
        <f t="shared" si="73"/>
        <v>GTGCC</v>
      </c>
      <c r="N379">
        <f t="shared" si="74"/>
        <v>155</v>
      </c>
      <c r="O379">
        <f t="shared" si="75"/>
        <v>3</v>
      </c>
      <c r="P379" t="str">
        <f t="shared" si="82"/>
        <v>AGAGACAGGAGCCTTCGGTGATGGTGCCAGGCATCAACCCCAG</v>
      </c>
    </row>
    <row r="380" spans="1:16" x14ac:dyDescent="0.25">
      <c r="A380">
        <v>2084695</v>
      </c>
      <c r="B380" t="s">
        <v>42</v>
      </c>
      <c r="C380" t="s">
        <v>394</v>
      </c>
      <c r="E380">
        <f t="shared" si="70"/>
        <v>14</v>
      </c>
      <c r="F380" t="str">
        <f t="shared" si="83"/>
        <v>2084695_chr16:2084731-2084732:C&gt;T</v>
      </c>
      <c r="G380" s="1" t="s">
        <v>1032</v>
      </c>
      <c r="H380" t="s">
        <v>879</v>
      </c>
      <c r="I380" t="s">
        <v>978</v>
      </c>
      <c r="J380" t="s">
        <v>979</v>
      </c>
      <c r="K380" t="str">
        <f t="shared" si="71"/>
        <v>AGAGACAGGAGCCTTCGGTGCACGTGCCAGGCATCAACCCCAGGTGGGCCTCTTGCTTCTGGGCGGGGCTCCTGACACCTCTCCTGCGGGAACCTGGTGCCTCACTTGCCCCAGGCCGAGCGGGCTGGGGTGGGGAGGTAGGAGGATAGGCCAGG</v>
      </c>
      <c r="L380" t="str">
        <f t="shared" si="72"/>
        <v>CGGTG</v>
      </c>
      <c r="M380" t="str">
        <f t="shared" si="73"/>
        <v>GTGCC</v>
      </c>
      <c r="N380">
        <f t="shared" si="74"/>
        <v>155</v>
      </c>
      <c r="O380">
        <f t="shared" si="75"/>
        <v>3</v>
      </c>
      <c r="P380" t="str">
        <f t="shared" si="82"/>
        <v>AGAGACAGGAGCCTTCGGTGCACGTGCCAGGCATCAACCCCAG</v>
      </c>
    </row>
    <row r="381" spans="1:16" x14ac:dyDescent="0.25">
      <c r="A381">
        <v>2084695</v>
      </c>
      <c r="B381" t="s">
        <v>42</v>
      </c>
      <c r="C381" t="s">
        <v>395</v>
      </c>
      <c r="E381">
        <f t="shared" si="70"/>
        <v>14</v>
      </c>
      <c r="F381" t="str">
        <f t="shared" si="83"/>
        <v>2084695_chr16:2084732-2084733:G&gt;A</v>
      </c>
      <c r="G381" s="1" t="s">
        <v>1033</v>
      </c>
      <c r="H381" t="s">
        <v>880</v>
      </c>
      <c r="I381" t="s">
        <v>978</v>
      </c>
      <c r="J381" t="s">
        <v>979</v>
      </c>
      <c r="K381" t="str">
        <f t="shared" si="71"/>
        <v>AGAGACAGGAGCCTTCGGTGTAGGTGCCAGGCATCAACCCCAGGTGGGCCTCTTGCTTCCAGGCGGGGCTCCTGACACCTCTCCTGCGGGAACCTGGTGCCTCACTTGCCCCAGGCCGAGCGGGCTGGGGTGGGGAGGTAGGAGGATAGGCCAGG</v>
      </c>
      <c r="L381" t="str">
        <f t="shared" si="72"/>
        <v>CGGTG</v>
      </c>
      <c r="M381" t="str">
        <f t="shared" si="73"/>
        <v>GTGCC</v>
      </c>
      <c r="N381">
        <f t="shared" si="74"/>
        <v>155</v>
      </c>
      <c r="O381">
        <f t="shared" si="75"/>
        <v>3</v>
      </c>
      <c r="P381" t="str">
        <f t="shared" si="82"/>
        <v>AGAGACAGGAGCCTTCGGTGTAGGTGCCAGGCATCAACCCCAG</v>
      </c>
    </row>
    <row r="382" spans="1:16" x14ac:dyDescent="0.25">
      <c r="A382">
        <v>2084695</v>
      </c>
      <c r="B382" t="s">
        <v>42</v>
      </c>
      <c r="C382" t="s">
        <v>396</v>
      </c>
      <c r="E382">
        <f t="shared" si="70"/>
        <v>14</v>
      </c>
      <c r="F382" t="str">
        <f t="shared" si="83"/>
        <v>2084695_chr16:2084739-2084740:G&gt;T</v>
      </c>
      <c r="G382" s="1" t="s">
        <v>1034</v>
      </c>
      <c r="H382" t="s">
        <v>881</v>
      </c>
      <c r="I382" t="s">
        <v>978</v>
      </c>
      <c r="J382" t="s">
        <v>979</v>
      </c>
      <c r="K382" t="str">
        <f t="shared" si="71"/>
        <v>AGAGACAGGAGCCTTCGGTGGTCGTGCCAGGCATCAACCCCAGGTGGGCCTCTTGCTTCCGGGCGGGTCTCCTGACACCTCTCCTGCGGGAACCTGGTGCCTCACTTGCCCCAGGCCGAGCGGGCTGGGGTGGGGAGGTAGGAGGATAGGCCAGG</v>
      </c>
      <c r="L382" t="str">
        <f t="shared" si="72"/>
        <v>CGGTG</v>
      </c>
      <c r="M382" t="str">
        <f t="shared" si="73"/>
        <v>GTGCC</v>
      </c>
      <c r="N382">
        <f t="shared" si="74"/>
        <v>155</v>
      </c>
      <c r="O382">
        <f t="shared" si="75"/>
        <v>3</v>
      </c>
      <c r="P382" t="str">
        <f t="shared" si="82"/>
        <v>AGAGACAGGAGCCTTCGGTGGTCGTGCCAGGCATCAACCCCAG</v>
      </c>
    </row>
    <row r="383" spans="1:16" x14ac:dyDescent="0.25">
      <c r="A383">
        <v>2084695</v>
      </c>
      <c r="B383" t="s">
        <v>42</v>
      </c>
      <c r="C383" t="s">
        <v>397</v>
      </c>
      <c r="E383">
        <f t="shared" si="70"/>
        <v>14</v>
      </c>
      <c r="F383" t="str">
        <f t="shared" si="83"/>
        <v>2084695_chr16:2084801-2084802:G&gt;-</v>
      </c>
      <c r="G383" s="1" t="s">
        <v>1035</v>
      </c>
      <c r="H383" t="s">
        <v>882</v>
      </c>
      <c r="I383" t="s">
        <v>978</v>
      </c>
      <c r="J383" t="s">
        <v>979</v>
      </c>
      <c r="K383" t="str">
        <f t="shared" si="71"/>
        <v>AGAGACAGGAGCCTTCGGTGTACGTGCCAGGCATCAACCCCAGGTGGGCCTCTTGCTTCCGGGCGGGGCTCCTGACACCTCTCCTGCGGGAACCTGGTGCCTCACTTGCCCCAGGCCGAGCGGGCTGGGTGGGGAGGTAGGAGGATAGGCCAGG</v>
      </c>
      <c r="L383" t="str">
        <f t="shared" si="72"/>
        <v>CGGTG</v>
      </c>
      <c r="M383" t="str">
        <f t="shared" si="73"/>
        <v>GTGCC</v>
      </c>
      <c r="N383">
        <f t="shared" si="74"/>
        <v>154</v>
      </c>
      <c r="O383">
        <f t="shared" si="75"/>
        <v>3</v>
      </c>
      <c r="P383" t="str">
        <f t="shared" si="82"/>
        <v>AGAGACAGGAGCCTTCGGTGTACGTGCCAGGCATCAACCCCAG</v>
      </c>
    </row>
    <row r="384" spans="1:16" x14ac:dyDescent="0.25">
      <c r="A384">
        <v>2085006</v>
      </c>
      <c r="B384" t="s">
        <v>43</v>
      </c>
      <c r="C384" t="s">
        <v>398</v>
      </c>
      <c r="D384" t="s">
        <v>534</v>
      </c>
      <c r="E384">
        <f t="shared" si="70"/>
        <v>15</v>
      </c>
      <c r="F384" t="str">
        <f>(A384&amp;"_"&amp;D384)</f>
        <v>2085006_wt</v>
      </c>
      <c r="G384" s="1" t="s">
        <v>993</v>
      </c>
      <c r="H384" t="s">
        <v>527</v>
      </c>
      <c r="I384" t="s">
        <v>978</v>
      </c>
      <c r="J384" t="s">
        <v>979</v>
      </c>
      <c r="K384" t="str">
        <f t="shared" si="71"/>
        <v>AGAGACAGGAGCCTTCGGTGCATCAATCCTGCTGCCCAATGAGGTAGGCGTGGCCTCCCTCTCCTGCATCCGCTGGAGCTGTGTGGCTCGGGTGAATGGTGGGGGGCCCAGCTCTGCTGCTGGGAGCTCAGGCTTAGGTAGGAGGATAGGCCAGG</v>
      </c>
      <c r="L384" t="str">
        <f t="shared" si="72"/>
        <v>CGGTG</v>
      </c>
      <c r="M384" t="str">
        <f t="shared" si="73"/>
        <v>CAATC</v>
      </c>
      <c r="N384">
        <f t="shared" si="74"/>
        <v>155</v>
      </c>
      <c r="O384">
        <f t="shared" si="75"/>
        <v>3</v>
      </c>
      <c r="P384" t="str">
        <f t="shared" si="82"/>
        <v>AGAGACAGGAGCCTTCGGTGCATCAATCCTGCTGCCCAATGAG</v>
      </c>
    </row>
    <row r="385" spans="1:16" x14ac:dyDescent="0.25">
      <c r="A385">
        <v>2085006</v>
      </c>
      <c r="B385" t="s">
        <v>43</v>
      </c>
      <c r="C385" t="s">
        <v>398</v>
      </c>
      <c r="E385">
        <f t="shared" si="70"/>
        <v>15</v>
      </c>
      <c r="F385" t="str">
        <f t="shared" ref="F385:F398" si="84">(A385&amp;"_"&amp;C385)</f>
        <v>2085006_chr16:2085026-2085027:G&gt;A</v>
      </c>
      <c r="G385" s="1" t="s">
        <v>997</v>
      </c>
      <c r="H385" t="s">
        <v>883</v>
      </c>
      <c r="I385" t="s">
        <v>978</v>
      </c>
      <c r="J385" t="s">
        <v>979</v>
      </c>
      <c r="K385" t="str">
        <f t="shared" si="71"/>
        <v>AGAGACAGGAGCCTTCGGTGTGACAATCCTGCTGCCCAATGAGATAGGCGTGGCCTCCCTCTCCTGCATCCGCTGGAGCTGTGTGGCTCGGGTGAATGGTGGGGGGCCCAGCTCTGCTGCTGGGAGCTCAGGCTTAGGTAGGAGGATAGGCCAGG</v>
      </c>
      <c r="L385" t="str">
        <f t="shared" si="72"/>
        <v>CGGTG</v>
      </c>
      <c r="M385" t="str">
        <f t="shared" si="73"/>
        <v>CAATC</v>
      </c>
      <c r="N385">
        <f t="shared" si="74"/>
        <v>155</v>
      </c>
      <c r="O385">
        <f t="shared" si="75"/>
        <v>3</v>
      </c>
      <c r="P385" t="str">
        <f t="shared" si="82"/>
        <v>AGAGACAGGAGCCTTCGGTGTGACAATCCTGCTGCCCAATGAG</v>
      </c>
    </row>
    <row r="386" spans="1:16" x14ac:dyDescent="0.25">
      <c r="A386">
        <v>2085006</v>
      </c>
      <c r="B386" t="s">
        <v>43</v>
      </c>
      <c r="C386" t="s">
        <v>399</v>
      </c>
      <c r="E386">
        <f t="shared" ref="E386:E449" si="85">COUNTIF(A:A,A386)</f>
        <v>15</v>
      </c>
      <c r="F386" t="str">
        <f t="shared" si="84"/>
        <v>2085006_chr16:2085026-2085027:G&gt;T</v>
      </c>
      <c r="G386" s="1" t="s">
        <v>994</v>
      </c>
      <c r="H386" t="s">
        <v>884</v>
      </c>
      <c r="I386" t="s">
        <v>978</v>
      </c>
      <c r="J386" t="s">
        <v>979</v>
      </c>
      <c r="K386" t="str">
        <f t="shared" ref="K386:K449" si="86">(I386&amp;G386&amp;H386&amp;J386)</f>
        <v>AGAGACAGGAGCCTTCGGTGGAGCAATCCTGCTGCCCAATGAGTTAGGCGTGGCCTCCCTCTCCTGCATCCGCTGGAGCTGTGTGGCTCGGGTGAATGGTGGGGGGCCCAGCTCTGCTGCTGGGAGCTCAGGCTTAGGTAGGAGGATAGGCCAGG</v>
      </c>
      <c r="L386" t="str">
        <f t="shared" ref="L386:L449" si="87">RIGHT(I386,5)</f>
        <v>CGGTG</v>
      </c>
      <c r="M386" t="str">
        <f t="shared" ref="M386:M449" si="88">LEFT(H386,5)</f>
        <v>CAATC</v>
      </c>
      <c r="N386">
        <f t="shared" ref="N386:N449" si="89">LEN(K386)</f>
        <v>155</v>
      </c>
      <c r="O386">
        <f t="shared" si="75"/>
        <v>3</v>
      </c>
      <c r="P386" t="str">
        <f t="shared" si="82"/>
        <v>AGAGACAGGAGCCTTCGGTGGAGCAATCCTGCTGCCCAATGAG</v>
      </c>
    </row>
    <row r="387" spans="1:16" x14ac:dyDescent="0.25">
      <c r="A387">
        <v>2085006</v>
      </c>
      <c r="B387" t="s">
        <v>43</v>
      </c>
      <c r="C387" t="s">
        <v>400</v>
      </c>
      <c r="E387">
        <f t="shared" si="85"/>
        <v>15</v>
      </c>
      <c r="F387" t="str">
        <f t="shared" si="84"/>
        <v>2085006_chr16:2085027-2085028:T&gt;A</v>
      </c>
      <c r="G387" s="1" t="s">
        <v>1001</v>
      </c>
      <c r="H387" t="s">
        <v>885</v>
      </c>
      <c r="I387" t="s">
        <v>978</v>
      </c>
      <c r="J387" t="s">
        <v>979</v>
      </c>
      <c r="K387" t="str">
        <f t="shared" si="86"/>
        <v>AGAGACAGGAGCCTTCGGTGCGTCAATCCTGCTGCCCAATGAGGAAGGCGTGGCCTCCCTCTCCTGCATCCGCTGGAGCTGTGTGGCTCGGGTGAATGGTGGGGGGCCCAGCTCTGCTGCTGGGAGCTCAGGCTTAGGTAGGAGGATAGGCCAGG</v>
      </c>
      <c r="L387" t="str">
        <f t="shared" si="87"/>
        <v>CGGTG</v>
      </c>
      <c r="M387" t="str">
        <f t="shared" si="88"/>
        <v>CAATC</v>
      </c>
      <c r="N387">
        <f t="shared" si="89"/>
        <v>155</v>
      </c>
      <c r="O387">
        <f t="shared" ref="O387:O450" si="90">LEN(G387)</f>
        <v>3</v>
      </c>
      <c r="P387" t="str">
        <f t="shared" si="82"/>
        <v>AGAGACAGGAGCCTTCGGTGCGTCAATCCTGCTGCCCAATGAG</v>
      </c>
    </row>
    <row r="388" spans="1:16" x14ac:dyDescent="0.25">
      <c r="A388">
        <v>2085006</v>
      </c>
      <c r="B388" t="s">
        <v>43</v>
      </c>
      <c r="C388" t="s">
        <v>401</v>
      </c>
      <c r="E388">
        <f t="shared" si="85"/>
        <v>15</v>
      </c>
      <c r="F388" t="str">
        <f t="shared" si="84"/>
        <v>2085006_chr16:2085027-2085028:T&gt;C</v>
      </c>
      <c r="G388" s="1" t="s">
        <v>1004</v>
      </c>
      <c r="H388" t="s">
        <v>886</v>
      </c>
      <c r="I388" t="s">
        <v>978</v>
      </c>
      <c r="J388" t="s">
        <v>979</v>
      </c>
      <c r="K388" t="str">
        <f t="shared" si="86"/>
        <v>AGAGACAGGAGCCTTCGGTGTCGCAATCCTGCTGCCCAATGAGGCAGGCGTGGCCTCCCTCTCCTGCATCCGCTGGAGCTGTGTGGCTCGGGTGAATGGTGGGGGGCCCAGCTCTGCTGCTGGGAGCTCAGGCTTAGGTAGGAGGATAGGCCAGG</v>
      </c>
      <c r="L388" t="str">
        <f t="shared" si="87"/>
        <v>CGGTG</v>
      </c>
      <c r="M388" t="str">
        <f t="shared" si="88"/>
        <v>CAATC</v>
      </c>
      <c r="N388">
        <f t="shared" si="89"/>
        <v>155</v>
      </c>
      <c r="O388">
        <f t="shared" si="90"/>
        <v>3</v>
      </c>
      <c r="P388" t="str">
        <f t="shared" si="82"/>
        <v>AGAGACAGGAGCCTTCGGTGTCGCAATCCTGCTGCCCAATGAG</v>
      </c>
    </row>
    <row r="389" spans="1:16" x14ac:dyDescent="0.25">
      <c r="A389">
        <v>2085006</v>
      </c>
      <c r="B389" t="s">
        <v>43</v>
      </c>
      <c r="C389" t="s">
        <v>402</v>
      </c>
      <c r="E389">
        <f t="shared" si="85"/>
        <v>15</v>
      </c>
      <c r="F389" t="str">
        <f t="shared" si="84"/>
        <v>2085006_chr16:2085027-2085028:T&gt;G</v>
      </c>
      <c r="G389" s="1" t="s">
        <v>995</v>
      </c>
      <c r="H389" t="s">
        <v>887</v>
      </c>
      <c r="I389" t="s">
        <v>978</v>
      </c>
      <c r="J389" t="s">
        <v>979</v>
      </c>
      <c r="K389" t="str">
        <f t="shared" si="86"/>
        <v>AGAGACAGGAGCCTTCGGTGTATCAATCCTGCTGCCCAATGAGGGAGGCGTGGCCTCCCTCTCCTGCATCCGCTGGAGCTGTGTGGCTCGGGTGAATGGTGGGGGGCCCAGCTCTGCTGCTGGGAGCTCAGGCTTAGGTAGGAGGATAGGCCAGG</v>
      </c>
      <c r="L389" t="str">
        <f t="shared" si="87"/>
        <v>CGGTG</v>
      </c>
      <c r="M389" t="str">
        <f t="shared" si="88"/>
        <v>CAATC</v>
      </c>
      <c r="N389">
        <f t="shared" si="89"/>
        <v>155</v>
      </c>
      <c r="O389">
        <f t="shared" si="90"/>
        <v>3</v>
      </c>
      <c r="P389" t="str">
        <f t="shared" si="82"/>
        <v>AGAGACAGGAGCCTTCGGTGTATCAATCCTGCTGCCCAATGAG</v>
      </c>
    </row>
    <row r="390" spans="1:16" x14ac:dyDescent="0.25">
      <c r="A390">
        <v>2085006</v>
      </c>
      <c r="B390" t="s">
        <v>43</v>
      </c>
      <c r="C390" t="s">
        <v>403</v>
      </c>
      <c r="E390">
        <f t="shared" si="85"/>
        <v>15</v>
      </c>
      <c r="F390" t="str">
        <f t="shared" si="84"/>
        <v>2085006_chr16:2085029-2085030:G&gt;A</v>
      </c>
      <c r="G390" s="1" t="s">
        <v>996</v>
      </c>
      <c r="H390" t="s">
        <v>888</v>
      </c>
      <c r="I390" t="s">
        <v>978</v>
      </c>
      <c r="J390" t="s">
        <v>981</v>
      </c>
      <c r="K390" t="str">
        <f t="shared" si="86"/>
        <v>AGAGACAGGAGCCTTCGGTGAGTCAATCCTGCTGCCCAATGAGGTAAGCGTGGCCTCCCTCTCCTGCATCCGCTGGAGCTGTGTGGCTCGGGTGAATGGTGGGGGGCCCAGCTCTGCTGCTGGGAGCTCAGGCTTAGGTAGGAGGATAGGCCAGG</v>
      </c>
      <c r="L390" t="str">
        <f t="shared" si="87"/>
        <v>CGGTG</v>
      </c>
      <c r="M390" t="str">
        <f t="shared" si="88"/>
        <v>CAATC</v>
      </c>
      <c r="N390">
        <f t="shared" si="89"/>
        <v>155</v>
      </c>
      <c r="O390">
        <f t="shared" si="90"/>
        <v>3</v>
      </c>
      <c r="P390" t="str">
        <f t="shared" si="82"/>
        <v>AGAGACAGGAGCCTTCGGTGAGTCAATCCTGCTGCCCAATGAG</v>
      </c>
    </row>
    <row r="391" spans="1:16" x14ac:dyDescent="0.25">
      <c r="A391">
        <v>2085006</v>
      </c>
      <c r="B391" t="s">
        <v>43</v>
      </c>
      <c r="C391" t="s">
        <v>404</v>
      </c>
      <c r="E391">
        <f t="shared" si="85"/>
        <v>15</v>
      </c>
      <c r="F391" t="str">
        <f t="shared" si="84"/>
        <v>2085006_chr16:2085031-2085032:C&gt;T</v>
      </c>
      <c r="G391" s="1" t="s">
        <v>998</v>
      </c>
      <c r="H391" t="s">
        <v>889</v>
      </c>
      <c r="I391" t="s">
        <v>978</v>
      </c>
      <c r="J391" t="s">
        <v>979</v>
      </c>
      <c r="K391" t="str">
        <f t="shared" si="86"/>
        <v>AGAGACAGGAGCCTTCGGTGGTACAATCCTGCTGCCCAATGAGGTAGGTGTGGCCTCCCTCTCCTGCATCCGCTGGAGCTGTGTGGCTCGGGTGAATGGTGGGGGGCCCAGCTCTGCTGCTGGGAGCTCAGGCTTAGGTAGGAGGATAGGCCAGG</v>
      </c>
      <c r="L391" t="str">
        <f t="shared" si="87"/>
        <v>CGGTG</v>
      </c>
      <c r="M391" t="str">
        <f t="shared" si="88"/>
        <v>CAATC</v>
      </c>
      <c r="N391">
        <f t="shared" si="89"/>
        <v>155</v>
      </c>
      <c r="O391">
        <f t="shared" si="90"/>
        <v>3</v>
      </c>
      <c r="P391" t="str">
        <f t="shared" si="82"/>
        <v>AGAGACAGGAGCCTTCGGTGGTACAATCCTGCTGCCCAATGAG</v>
      </c>
    </row>
    <row r="392" spans="1:16" x14ac:dyDescent="0.25">
      <c r="A392">
        <v>2085006</v>
      </c>
      <c r="B392" t="s">
        <v>43</v>
      </c>
      <c r="C392" t="s">
        <v>405</v>
      </c>
      <c r="E392">
        <f t="shared" si="85"/>
        <v>15</v>
      </c>
      <c r="F392" t="str">
        <f t="shared" si="84"/>
        <v>2085006_chr16:2085032-2085033:G&gt;C</v>
      </c>
      <c r="G392" s="1" t="s">
        <v>999</v>
      </c>
      <c r="H392" t="s">
        <v>890</v>
      </c>
      <c r="I392" t="s">
        <v>978</v>
      </c>
      <c r="J392" t="s">
        <v>979</v>
      </c>
      <c r="K392" t="str">
        <f t="shared" si="86"/>
        <v>AGAGACAGGAGCCTTCGGTGATACAATCCTGCTGCCCAATGAGGTAGGCCTGGCCTCCCTCTCCTGCATCCGCTGGAGCTGTGTGGCTCGGGTGAATGGTGGGGGGCCCAGCTCTGCTGCTGGGAGCTCAGGCTTAGGTAGGAGGATAGGCCAGG</v>
      </c>
      <c r="L392" t="str">
        <f t="shared" si="87"/>
        <v>CGGTG</v>
      </c>
      <c r="M392" t="str">
        <f t="shared" si="88"/>
        <v>CAATC</v>
      </c>
      <c r="N392">
        <f t="shared" si="89"/>
        <v>155</v>
      </c>
      <c r="O392">
        <f t="shared" si="90"/>
        <v>3</v>
      </c>
      <c r="P392" t="str">
        <f t="shared" si="82"/>
        <v>AGAGACAGGAGCCTTCGGTGATACAATCCTGCTGCCCAATGAG</v>
      </c>
    </row>
    <row r="393" spans="1:16" x14ac:dyDescent="0.25">
      <c r="A393">
        <v>2085006</v>
      </c>
      <c r="B393" t="s">
        <v>43</v>
      </c>
      <c r="C393" t="s">
        <v>406</v>
      </c>
      <c r="E393">
        <f t="shared" si="85"/>
        <v>15</v>
      </c>
      <c r="F393" t="str">
        <f t="shared" si="84"/>
        <v>2085006_chr16:2085037-2085038:C&gt;T</v>
      </c>
      <c r="G393" s="1" t="s">
        <v>1000</v>
      </c>
      <c r="H393" t="s">
        <v>891</v>
      </c>
      <c r="I393" t="s">
        <v>978</v>
      </c>
      <c r="J393" t="s">
        <v>979</v>
      </c>
      <c r="K393" t="str">
        <f t="shared" si="86"/>
        <v>AGAGACAGGAGCCTTCGGTGAGCCAATCCTGCTGCCCAATGAGGTAGGCGTGGCTTCCCTCTCCTGCATCCGCTGGAGCTGTGTGGCTCGGGTGAATGGTGGGGGGCCCAGCTCTGCTGCTGGGAGCTCAGGCTTAGGTAGGAGGATAGGCCAGG</v>
      </c>
      <c r="L393" t="str">
        <f t="shared" si="87"/>
        <v>CGGTG</v>
      </c>
      <c r="M393" t="str">
        <f t="shared" si="88"/>
        <v>CAATC</v>
      </c>
      <c r="N393">
        <f t="shared" si="89"/>
        <v>155</v>
      </c>
      <c r="O393">
        <f t="shared" si="90"/>
        <v>3</v>
      </c>
      <c r="P393" t="str">
        <f t="shared" si="82"/>
        <v>AGAGACAGGAGCCTTCGGTGAGCCAATCCTGCTGCCCAATGAG</v>
      </c>
    </row>
    <row r="394" spans="1:16" x14ac:dyDescent="0.25">
      <c r="A394">
        <v>2085006</v>
      </c>
      <c r="B394" t="s">
        <v>43</v>
      </c>
      <c r="C394" t="s">
        <v>407</v>
      </c>
      <c r="E394">
        <f t="shared" si="85"/>
        <v>15</v>
      </c>
      <c r="F394" t="str">
        <f t="shared" si="84"/>
        <v>2085006_chr16:2085069-2085070:C&gt;T</v>
      </c>
      <c r="G394" s="5" t="s">
        <v>1093</v>
      </c>
      <c r="H394" t="s">
        <v>892</v>
      </c>
      <c r="I394" t="s">
        <v>978</v>
      </c>
      <c r="J394" t="s">
        <v>979</v>
      </c>
      <c r="K394" t="str">
        <f t="shared" si="86"/>
        <v>AGAGACAGGAGCCTTCGGTGGATCAATCCTGCTGCCCAATGAGGTAGGCGTGGCCTCCCTCTCCTGCATCCGCTGGAGCTGTGTGGTTCGGGTGAATGGTGGGGGGCCCAGCTCTGCTGCTGGGAGCTCAGGCTTAGGTAGGAGGATAGGCCAGG</v>
      </c>
      <c r="L394" t="str">
        <f t="shared" si="87"/>
        <v>CGGTG</v>
      </c>
      <c r="M394" t="str">
        <f t="shared" si="88"/>
        <v>CAATC</v>
      </c>
      <c r="N394">
        <f t="shared" si="89"/>
        <v>155</v>
      </c>
      <c r="O394">
        <f t="shared" si="90"/>
        <v>3</v>
      </c>
      <c r="P394" t="str">
        <f t="shared" si="82"/>
        <v>AGAGACAGGAGCCTTCGGTGGATCAATCCTGCTGCCCAATGAG</v>
      </c>
    </row>
    <row r="395" spans="1:16" x14ac:dyDescent="0.25">
      <c r="A395">
        <v>2085006</v>
      </c>
      <c r="B395" t="s">
        <v>43</v>
      </c>
      <c r="C395" t="s">
        <v>408</v>
      </c>
      <c r="E395">
        <f t="shared" si="85"/>
        <v>15</v>
      </c>
      <c r="F395" t="str">
        <f t="shared" si="84"/>
        <v>2085006_chr16:2085071-2085072:C&gt;T</v>
      </c>
      <c r="G395" s="1" t="s">
        <v>1005</v>
      </c>
      <c r="H395" t="s">
        <v>893</v>
      </c>
      <c r="I395" t="s">
        <v>978</v>
      </c>
      <c r="J395" t="s">
        <v>979</v>
      </c>
      <c r="K395" t="str">
        <f t="shared" si="86"/>
        <v>AGAGACAGGAGCCTTCGGTGACTCAATCCTGCTGCCCAATGAGGTAGGCGTGGCCTCCCTCTCCTGCATCCGCTGGAGCTGTGTGGCTTGGGTGAATGGTGGGGGGCCCAGCTCTGCTGCTGGGAGCTCAGGCTTAGGTAGGAGGATAGGCCAGG</v>
      </c>
      <c r="L395" t="str">
        <f t="shared" si="87"/>
        <v>CGGTG</v>
      </c>
      <c r="M395" t="str">
        <f t="shared" si="88"/>
        <v>CAATC</v>
      </c>
      <c r="N395">
        <f t="shared" si="89"/>
        <v>155</v>
      </c>
      <c r="O395">
        <f t="shared" si="90"/>
        <v>3</v>
      </c>
      <c r="P395" t="str">
        <f t="shared" si="82"/>
        <v>AGAGACAGGAGCCTTCGGTGACTCAATCCTGCTGCCCAATGAG</v>
      </c>
    </row>
    <row r="396" spans="1:16" x14ac:dyDescent="0.25">
      <c r="A396">
        <v>2085006</v>
      </c>
      <c r="B396" t="s">
        <v>43</v>
      </c>
      <c r="C396" t="s">
        <v>409</v>
      </c>
      <c r="E396">
        <f t="shared" si="85"/>
        <v>15</v>
      </c>
      <c r="F396" t="str">
        <f t="shared" si="84"/>
        <v>2085006_chr16:2085072-2085073:G&gt;A</v>
      </c>
      <c r="G396" s="1" t="s">
        <v>1003</v>
      </c>
      <c r="H396" t="s">
        <v>894</v>
      </c>
      <c r="I396" t="s">
        <v>978</v>
      </c>
      <c r="J396" t="s">
        <v>979</v>
      </c>
      <c r="K396" t="str">
        <f t="shared" si="86"/>
        <v>AGAGACAGGAGCCTTCGGTGGCACAATCCTGCTGCCCAATGAGGTAGGCGTGGCCTCCCTCTCCTGCATCCGCTGGAGCTGTGTGGCTCAGGTGAATGGTGGGGGGCCCAGCTCTGCTGCTGGGAGCTCAGGCTTAGGTAGGAGGATAGGCCAGG</v>
      </c>
      <c r="L396" t="str">
        <f t="shared" si="87"/>
        <v>CGGTG</v>
      </c>
      <c r="M396" t="str">
        <f t="shared" si="88"/>
        <v>CAATC</v>
      </c>
      <c r="N396">
        <f t="shared" si="89"/>
        <v>155</v>
      </c>
      <c r="O396">
        <f t="shared" si="90"/>
        <v>3</v>
      </c>
      <c r="P396" t="str">
        <f t="shared" si="82"/>
        <v>AGAGACAGGAGCCTTCGGTGGCACAATCCTGCTGCCCAATGAG</v>
      </c>
    </row>
    <row r="397" spans="1:16" x14ac:dyDescent="0.25">
      <c r="A397">
        <v>2085006</v>
      </c>
      <c r="B397" t="s">
        <v>43</v>
      </c>
      <c r="C397" t="s">
        <v>410</v>
      </c>
      <c r="E397">
        <f t="shared" si="85"/>
        <v>15</v>
      </c>
      <c r="F397" t="str">
        <f t="shared" si="84"/>
        <v>2085006_chr16:2085075-2085076:T&gt;A</v>
      </c>
      <c r="G397" s="1" t="s">
        <v>1006</v>
      </c>
      <c r="H397" t="s">
        <v>895</v>
      </c>
      <c r="I397" t="s">
        <v>978</v>
      </c>
      <c r="J397" t="s">
        <v>979</v>
      </c>
      <c r="K397" t="str">
        <f t="shared" si="86"/>
        <v>AGAGACAGGAGCCTTCGGTGCGACAATCCTGCTGCCCAATGAGGTAGGCGTGGCCTCCCTCTCCTGCATCCGCTGGAGCTGTGTGGCTCGGGAGAATGGTGGGGGGCCCAGCTCTGCTGCTGGGAGCTCAGGCTTAGGTAGGAGGATAGGCCAGG</v>
      </c>
      <c r="L397" t="str">
        <f t="shared" si="87"/>
        <v>CGGTG</v>
      </c>
      <c r="M397" t="str">
        <f t="shared" si="88"/>
        <v>CAATC</v>
      </c>
      <c r="N397">
        <f t="shared" si="89"/>
        <v>155</v>
      </c>
      <c r="O397">
        <f t="shared" si="90"/>
        <v>3</v>
      </c>
      <c r="P397" t="str">
        <f t="shared" si="82"/>
        <v>AGAGACAGGAGCCTTCGGTGCGACAATCCTGCTGCCCAATGAG</v>
      </c>
    </row>
    <row r="398" spans="1:16" x14ac:dyDescent="0.25">
      <c r="A398">
        <v>2085006</v>
      </c>
      <c r="B398" t="s">
        <v>43</v>
      </c>
      <c r="C398" t="s">
        <v>411</v>
      </c>
      <c r="E398">
        <f t="shared" si="85"/>
        <v>15</v>
      </c>
      <c r="F398" t="str">
        <f t="shared" si="84"/>
        <v>2085006_chr16:2085105-2085106:G&gt;A</v>
      </c>
      <c r="G398" s="5" t="s">
        <v>1083</v>
      </c>
      <c r="H398" t="s">
        <v>896</v>
      </c>
      <c r="I398" t="s">
        <v>978</v>
      </c>
      <c r="J398" t="s">
        <v>981</v>
      </c>
      <c r="K398" t="str">
        <f t="shared" si="86"/>
        <v>AGAGACAGGAGCCTTCGGTGTGCCAATCCTGCTGCCCAATGAGGTAGGCGTGGCCTCCCTCTCCTGCATCCGCTGGAGCTGTGTGGCTCGGGTGAATGGTGGGGGGCCCAGCTCTGCTGCTGAGAGCTCAGGCTTAGGTAGGAGGATAGGCCAGG</v>
      </c>
      <c r="L398" t="str">
        <f t="shared" si="87"/>
        <v>CGGTG</v>
      </c>
      <c r="M398" t="str">
        <f t="shared" si="88"/>
        <v>CAATC</v>
      </c>
      <c r="N398">
        <f t="shared" si="89"/>
        <v>155</v>
      </c>
      <c r="O398">
        <f t="shared" si="90"/>
        <v>3</v>
      </c>
      <c r="P398" t="str">
        <f t="shared" si="82"/>
        <v>AGAGACAGGAGCCTTCGGTGTGCCAATCCTGCTGCCCAATGAG</v>
      </c>
    </row>
    <row r="399" spans="1:16" x14ac:dyDescent="0.25">
      <c r="A399">
        <v>2085302</v>
      </c>
      <c r="B399" t="s">
        <v>44</v>
      </c>
      <c r="C399" t="s">
        <v>412</v>
      </c>
      <c r="D399" t="s">
        <v>534</v>
      </c>
      <c r="E399">
        <f t="shared" si="85"/>
        <v>12</v>
      </c>
      <c r="F399" t="str">
        <f>(A399&amp;"_"&amp;D399)</f>
        <v>2085302_wt</v>
      </c>
      <c r="G399" s="1" t="s">
        <v>993</v>
      </c>
      <c r="H399" t="s">
        <v>528</v>
      </c>
      <c r="I399" t="s">
        <v>978</v>
      </c>
      <c r="J399" t="s">
        <v>979</v>
      </c>
      <c r="K399" t="str">
        <f t="shared" si="86"/>
        <v>AGAGACAGGAGCCTTCGGTGCATTGTATGTTGGAGAAGGCCAGGTGAGGCTGCGGGGCCGGCCTAGGTGCCTGGACAGGGCCAGCTGGGCCTCAGCCTGCAGTGGGTAGGGAGTCTGGGCCCCCAACGCCCCACAAGGTAGGAGGATAGGCCAGG</v>
      </c>
      <c r="L399" t="str">
        <f t="shared" si="87"/>
        <v>CGGTG</v>
      </c>
      <c r="M399" t="str">
        <f t="shared" si="88"/>
        <v>TGTAT</v>
      </c>
      <c r="N399">
        <f t="shared" si="89"/>
        <v>155</v>
      </c>
      <c r="O399">
        <f t="shared" si="90"/>
        <v>3</v>
      </c>
      <c r="P399" t="str">
        <f t="shared" si="82"/>
        <v>AGAGACAGGAGCCTTCGGTGCATTGTATGTTGGAGAAGGCCAG</v>
      </c>
    </row>
    <row r="400" spans="1:16" x14ac:dyDescent="0.25">
      <c r="A400">
        <v>2085302</v>
      </c>
      <c r="B400" t="s">
        <v>44</v>
      </c>
      <c r="C400" t="s">
        <v>412</v>
      </c>
      <c r="E400">
        <f t="shared" si="85"/>
        <v>12</v>
      </c>
      <c r="F400" t="str">
        <f t="shared" ref="F400:F410" si="91">(A400&amp;"_"&amp;C400)</f>
        <v>2085302_chr16:2085322-2085323:G&gt;A</v>
      </c>
      <c r="G400" s="1" t="s">
        <v>997</v>
      </c>
      <c r="H400" t="s">
        <v>897</v>
      </c>
      <c r="I400" t="s">
        <v>978</v>
      </c>
      <c r="J400" t="s">
        <v>979</v>
      </c>
      <c r="K400" t="str">
        <f t="shared" si="86"/>
        <v>AGAGACAGGAGCCTTCGGTGTGATGTATGTTGGAGAAGGCCAGATGAGGCTGCGGGGCCGGCCTAGGTGCCTGGACAGGGCCAGCTGGGCCTCAGCCTGCAGTGGGTAGGGAGTCTGGGCCCCCAACGCCCCACAAGGTAGGAGGATAGGCCAGG</v>
      </c>
      <c r="L400" t="str">
        <f t="shared" si="87"/>
        <v>CGGTG</v>
      </c>
      <c r="M400" t="str">
        <f t="shared" si="88"/>
        <v>TGTAT</v>
      </c>
      <c r="N400">
        <f t="shared" si="89"/>
        <v>155</v>
      </c>
      <c r="O400">
        <f t="shared" si="90"/>
        <v>3</v>
      </c>
      <c r="P400" t="str">
        <f t="shared" si="82"/>
        <v>AGAGACAGGAGCCTTCGGTGTGATGTATGTTGGAGAAGGCCAG</v>
      </c>
    </row>
    <row r="401" spans="1:16" x14ac:dyDescent="0.25">
      <c r="A401">
        <v>2085302</v>
      </c>
      <c r="B401" t="s">
        <v>44</v>
      </c>
      <c r="C401" t="s">
        <v>413</v>
      </c>
      <c r="E401">
        <f t="shared" si="85"/>
        <v>12</v>
      </c>
      <c r="F401" t="str">
        <f t="shared" si="91"/>
        <v>2085302_chr16:2085322-2085323:G&gt;C</v>
      </c>
      <c r="G401" s="5" t="s">
        <v>1074</v>
      </c>
      <c r="H401" t="s">
        <v>898</v>
      </c>
      <c r="I401" t="s">
        <v>978</v>
      </c>
      <c r="J401" t="s">
        <v>981</v>
      </c>
      <c r="K401" t="str">
        <f t="shared" si="86"/>
        <v>AGAGACAGGAGCCTTCGGTGGCATGTATGTTGGAGAAGGCCAGCTGAGGCTGCGGGGCCGGCCTAGGTGCCTGGACAGGGCCAGCTGGGCCTCAGCCTGCAGTGGGTAGGGAGTCTGGGCCCCCAACGCCCCACAAGGTAGGAGGATAGGCCAGG</v>
      </c>
      <c r="L401" t="str">
        <f t="shared" si="87"/>
        <v>CGGTG</v>
      </c>
      <c r="M401" t="str">
        <f t="shared" si="88"/>
        <v>TGTAT</v>
      </c>
      <c r="N401">
        <f t="shared" si="89"/>
        <v>155</v>
      </c>
      <c r="O401">
        <f t="shared" si="90"/>
        <v>3</v>
      </c>
      <c r="P401" t="str">
        <f t="shared" si="82"/>
        <v>AGAGACAGGAGCCTTCGGTGGCATGTATGTTGGAGAAGGCCAG</v>
      </c>
    </row>
    <row r="402" spans="1:16" x14ac:dyDescent="0.25">
      <c r="A402">
        <v>2085302</v>
      </c>
      <c r="B402" t="s">
        <v>44</v>
      </c>
      <c r="C402" t="s">
        <v>414</v>
      </c>
      <c r="E402">
        <f t="shared" si="85"/>
        <v>12</v>
      </c>
      <c r="F402" t="str">
        <f t="shared" si="91"/>
        <v>2085302_chr16:2085322-2085323:G&gt;T</v>
      </c>
      <c r="G402" s="1" t="s">
        <v>1001</v>
      </c>
      <c r="H402" t="s">
        <v>899</v>
      </c>
      <c r="I402" t="s">
        <v>978</v>
      </c>
      <c r="J402" t="s">
        <v>979</v>
      </c>
      <c r="K402" t="str">
        <f t="shared" si="86"/>
        <v>AGAGACAGGAGCCTTCGGTGCGTTGTATGTTGGAGAAGGCCAGTTGAGGCTGCGGGGCCGGCCTAGGTGCCTGGACAGGGCCAGCTGGGCCTCAGCCTGCAGTGGGTAGGGAGTCTGGGCCCCCAACGCCCCACAAGGTAGGAGGATAGGCCAGG</v>
      </c>
      <c r="L402" t="str">
        <f t="shared" si="87"/>
        <v>CGGTG</v>
      </c>
      <c r="M402" t="str">
        <f t="shared" si="88"/>
        <v>TGTAT</v>
      </c>
      <c r="N402">
        <f t="shared" si="89"/>
        <v>155</v>
      </c>
      <c r="O402">
        <f t="shared" si="90"/>
        <v>3</v>
      </c>
      <c r="P402" t="str">
        <f t="shared" si="82"/>
        <v>AGAGACAGGAGCCTTCGGTGCGTTGTATGTTGGAGAAGGCCAG</v>
      </c>
    </row>
    <row r="403" spans="1:16" x14ac:dyDescent="0.25">
      <c r="A403">
        <v>2085302</v>
      </c>
      <c r="B403" t="s">
        <v>44</v>
      </c>
      <c r="C403" t="s">
        <v>415</v>
      </c>
      <c r="E403">
        <f t="shared" si="85"/>
        <v>12</v>
      </c>
      <c r="F403" t="str">
        <f t="shared" si="91"/>
        <v>2085302_chr16:2085323-2085328:TGAGG&gt;-</v>
      </c>
      <c r="G403" s="1" t="s">
        <v>1004</v>
      </c>
      <c r="H403" t="s">
        <v>900</v>
      </c>
      <c r="I403" t="s">
        <v>978</v>
      </c>
      <c r="J403" t="s">
        <v>979</v>
      </c>
      <c r="K403" t="str">
        <f t="shared" si="86"/>
        <v>AGAGACAGGAGCCTTCGGTGTCGTGTATGTTGGAGAAGGCCAGGCTGCGGGGCCGGCCTAGGTGCCTGGACAGGGCCAGCTGGGCCTCAGCCTGCAGTGGGTAGGGAGTCTGGGCCCCCAACGCCCCACAAGGTAGGAGGATAGGCCAGG</v>
      </c>
      <c r="L403" t="str">
        <f t="shared" si="87"/>
        <v>CGGTG</v>
      </c>
      <c r="M403" t="str">
        <f t="shared" si="88"/>
        <v>TGTAT</v>
      </c>
      <c r="N403">
        <f t="shared" si="89"/>
        <v>150</v>
      </c>
      <c r="O403">
        <f t="shared" si="90"/>
        <v>3</v>
      </c>
      <c r="P403" t="str">
        <f t="shared" si="82"/>
        <v>AGAGACAGGAGCCTTCGGTGTCGTGTATGTTGGAGAAGGCCAG</v>
      </c>
    </row>
    <row r="404" spans="1:16" x14ac:dyDescent="0.25">
      <c r="A404">
        <v>2085302</v>
      </c>
      <c r="B404" t="s">
        <v>44</v>
      </c>
      <c r="C404" t="s">
        <v>416</v>
      </c>
      <c r="E404">
        <f t="shared" si="85"/>
        <v>12</v>
      </c>
      <c r="F404" t="str">
        <f t="shared" si="91"/>
        <v>2085302_chr16:2085328-2085329:C&gt;T</v>
      </c>
      <c r="G404" s="1" t="s">
        <v>995</v>
      </c>
      <c r="H404" t="s">
        <v>901</v>
      </c>
      <c r="I404" t="s">
        <v>978</v>
      </c>
      <c r="J404" t="s">
        <v>979</v>
      </c>
      <c r="K404" t="str">
        <f t="shared" si="86"/>
        <v>AGAGACAGGAGCCTTCGGTGTATTGTATGTTGGAGAAGGCCAGGTGAGGTTGCGGGGCCGGCCTAGGTGCCTGGACAGGGCCAGCTGGGCCTCAGCCTGCAGTGGGTAGGGAGTCTGGGCCCCCAACGCCCCACAAGGTAGGAGGATAGGCCAGG</v>
      </c>
      <c r="L404" t="str">
        <f t="shared" si="87"/>
        <v>CGGTG</v>
      </c>
      <c r="M404" t="str">
        <f t="shared" si="88"/>
        <v>TGTAT</v>
      </c>
      <c r="N404">
        <f t="shared" si="89"/>
        <v>155</v>
      </c>
      <c r="O404">
        <f t="shared" si="90"/>
        <v>3</v>
      </c>
      <c r="P404" t="str">
        <f t="shared" si="82"/>
        <v>AGAGACAGGAGCCTTCGGTGTATTGTATGTTGGAGAAGGCCAG</v>
      </c>
    </row>
    <row r="405" spans="1:16" x14ac:dyDescent="0.25">
      <c r="A405">
        <v>2085302</v>
      </c>
      <c r="B405" t="s">
        <v>44</v>
      </c>
      <c r="C405" t="s">
        <v>417</v>
      </c>
      <c r="E405">
        <f t="shared" si="85"/>
        <v>12</v>
      </c>
      <c r="F405" t="str">
        <f t="shared" si="91"/>
        <v>2085302_chr16:2085331-2085332:C&gt;T</v>
      </c>
      <c r="G405" s="1" t="s">
        <v>996</v>
      </c>
      <c r="H405" t="s">
        <v>902</v>
      </c>
      <c r="I405" t="s">
        <v>978</v>
      </c>
      <c r="J405" t="s">
        <v>979</v>
      </c>
      <c r="K405" t="str">
        <f t="shared" si="86"/>
        <v>AGAGACAGGAGCCTTCGGTGAGTTGTATGTTGGAGAAGGCCAGGTGAGGCTGTGGGGCCGGCCTAGGTGCCTGGACAGGGCCAGCTGGGCCTCAGCCTGCAGTGGGTAGGGAGTCTGGGCCCCCAACGCCCCACAAGGTAGGAGGATAGGCCAGG</v>
      </c>
      <c r="L405" t="str">
        <f t="shared" si="87"/>
        <v>CGGTG</v>
      </c>
      <c r="M405" t="str">
        <f t="shared" si="88"/>
        <v>TGTAT</v>
      </c>
      <c r="N405">
        <f t="shared" si="89"/>
        <v>155</v>
      </c>
      <c r="O405">
        <f t="shared" si="90"/>
        <v>3</v>
      </c>
      <c r="P405" t="str">
        <f t="shared" si="82"/>
        <v>AGAGACAGGAGCCTTCGGTGAGTTGTATGTTGGAGAAGGCCAG</v>
      </c>
    </row>
    <row r="406" spans="1:16" x14ac:dyDescent="0.25">
      <c r="A406">
        <v>2085302</v>
      </c>
      <c r="B406" t="s">
        <v>44</v>
      </c>
      <c r="C406" t="s">
        <v>418</v>
      </c>
      <c r="E406">
        <f t="shared" si="85"/>
        <v>12</v>
      </c>
      <c r="F406" t="str">
        <f t="shared" si="91"/>
        <v>2085302_chr16:2085332-2085333:G&gt;A</v>
      </c>
      <c r="G406" s="5" t="s">
        <v>1075</v>
      </c>
      <c r="H406" t="s">
        <v>903</v>
      </c>
      <c r="I406" t="s">
        <v>978</v>
      </c>
      <c r="J406" t="s">
        <v>979</v>
      </c>
      <c r="K406" t="str">
        <f t="shared" si="86"/>
        <v>AGAGACAGGAGCCTTCGGTGCGATGTATGTTGGAGAAGGCCAGGTGAGGCTGCAGGGCCGGCCTAGGTGCCTGGACAGGGCCAGCTGGGCCTCAGCCTGCAGTGGGTAGGGAGTCTGGGCCCCCAACGCCCCACAAGGTAGGAGGATAGGCCAGG</v>
      </c>
      <c r="L406" t="str">
        <f t="shared" si="87"/>
        <v>CGGTG</v>
      </c>
      <c r="M406" t="str">
        <f t="shared" si="88"/>
        <v>TGTAT</v>
      </c>
      <c r="N406">
        <f t="shared" si="89"/>
        <v>155</v>
      </c>
      <c r="O406">
        <f t="shared" si="90"/>
        <v>3</v>
      </c>
      <c r="P406" t="str">
        <f t="shared" si="82"/>
        <v>AGAGACAGGAGCCTTCGGTGCGATGTATGTTGGAGAAGGCCAG</v>
      </c>
    </row>
    <row r="407" spans="1:16" x14ac:dyDescent="0.25">
      <c r="A407">
        <v>2085302</v>
      </c>
      <c r="B407" t="s">
        <v>44</v>
      </c>
      <c r="C407" t="s">
        <v>419</v>
      </c>
      <c r="E407">
        <f t="shared" si="85"/>
        <v>12</v>
      </c>
      <c r="F407" t="str">
        <f t="shared" si="91"/>
        <v>2085302_chr16:2085337-2085338:C&gt;T</v>
      </c>
      <c r="G407" s="5" t="s">
        <v>1093</v>
      </c>
      <c r="H407" t="s">
        <v>904</v>
      </c>
      <c r="I407" t="s">
        <v>978</v>
      </c>
      <c r="J407" t="s">
        <v>979</v>
      </c>
      <c r="K407" t="str">
        <f t="shared" si="86"/>
        <v>AGAGACAGGAGCCTTCGGTGGATTGTATGTTGGAGAAGGCCAGGTGAGGCTGCGGGGCTGGCCTAGGTGCCTGGACAGGGCCAGCTGGGCCTCAGCCTGCAGTGGGTAGGGAGTCTGGGCCCCCAACGCCCCACAAGGTAGGAGGATAGGCCAGG</v>
      </c>
      <c r="L407" t="str">
        <f t="shared" si="87"/>
        <v>CGGTG</v>
      </c>
      <c r="M407" t="str">
        <f t="shared" si="88"/>
        <v>TGTAT</v>
      </c>
      <c r="N407">
        <f t="shared" si="89"/>
        <v>155</v>
      </c>
      <c r="O407">
        <f t="shared" si="90"/>
        <v>3</v>
      </c>
      <c r="P407" t="str">
        <f t="shared" si="82"/>
        <v>AGAGACAGGAGCCTTCGGTGGATTGTATGTTGGAGAAGGCCAG</v>
      </c>
    </row>
    <row r="408" spans="1:16" x14ac:dyDescent="0.25">
      <c r="A408">
        <v>2085302</v>
      </c>
      <c r="B408" t="s">
        <v>44</v>
      </c>
      <c r="C408" t="s">
        <v>420</v>
      </c>
      <c r="E408">
        <f t="shared" si="85"/>
        <v>12</v>
      </c>
      <c r="F408" t="str">
        <f t="shared" si="91"/>
        <v>2085302_chr16:2085338-2085339:G&gt;A</v>
      </c>
      <c r="G408" s="1" t="s">
        <v>1000</v>
      </c>
      <c r="H408" t="s">
        <v>905</v>
      </c>
      <c r="I408" t="s">
        <v>978</v>
      </c>
      <c r="J408" t="s">
        <v>979</v>
      </c>
      <c r="K408" t="str">
        <f t="shared" si="86"/>
        <v>AGAGACAGGAGCCTTCGGTGAGCTGTATGTTGGAGAAGGCCAGGTGAGGCTGCGGGGCCAGCCTAGGTGCCTGGACAGGGCCAGCTGGGCCTCAGCCTGCAGTGGGTAGGGAGTCTGGGCCCCCAACGCCCCACAAGGTAGGAGGATAGGCCAGG</v>
      </c>
      <c r="L408" t="str">
        <f t="shared" si="87"/>
        <v>CGGTG</v>
      </c>
      <c r="M408" t="str">
        <f t="shared" si="88"/>
        <v>TGTAT</v>
      </c>
      <c r="N408">
        <f t="shared" si="89"/>
        <v>155</v>
      </c>
      <c r="O408">
        <f t="shared" si="90"/>
        <v>3</v>
      </c>
      <c r="P408" t="str">
        <f t="shared" si="82"/>
        <v>AGAGACAGGAGCCTTCGGTGAGCTGTATGTTGGAGAAGGCCAG</v>
      </c>
    </row>
    <row r="409" spans="1:16" x14ac:dyDescent="0.25">
      <c r="A409">
        <v>2085302</v>
      </c>
      <c r="B409" t="s">
        <v>44</v>
      </c>
      <c r="C409" t="s">
        <v>421</v>
      </c>
      <c r="E409">
        <f t="shared" si="85"/>
        <v>12</v>
      </c>
      <c r="F409" t="str">
        <f t="shared" si="91"/>
        <v>2085302_chr16:2085339-2085340:G&gt;A</v>
      </c>
      <c r="G409" s="5" t="s">
        <v>1083</v>
      </c>
      <c r="H409" t="s">
        <v>906</v>
      </c>
      <c r="I409" t="s">
        <v>978</v>
      </c>
      <c r="J409" t="s">
        <v>979</v>
      </c>
      <c r="K409" t="str">
        <f t="shared" si="86"/>
        <v>AGAGACAGGAGCCTTCGGTGTGCTGTATGTTGGAGAAGGCCAGGTGAGGCTGCGGGGCCGACCTAGGTGCCTGGACAGGGCCAGCTGGGCCTCAGCCTGCAGTGGGTAGGGAGTCTGGGCCCCCAACGCCCCACAAGGTAGGAGGATAGGCCAGG</v>
      </c>
      <c r="L409" t="str">
        <f t="shared" si="87"/>
        <v>CGGTG</v>
      </c>
      <c r="M409" t="str">
        <f t="shared" si="88"/>
        <v>TGTAT</v>
      </c>
      <c r="N409">
        <f t="shared" si="89"/>
        <v>155</v>
      </c>
      <c r="O409">
        <f t="shared" si="90"/>
        <v>3</v>
      </c>
      <c r="P409" t="str">
        <f t="shared" si="82"/>
        <v>AGAGACAGGAGCCTTCGGTGTGCTGTATGTTGGAGAAGGCCAG</v>
      </c>
    </row>
    <row r="410" spans="1:16" x14ac:dyDescent="0.25">
      <c r="A410">
        <v>2085302</v>
      </c>
      <c r="B410" t="s">
        <v>44</v>
      </c>
      <c r="C410" t="s">
        <v>422</v>
      </c>
      <c r="E410">
        <f t="shared" si="85"/>
        <v>12</v>
      </c>
      <c r="F410" t="str">
        <f t="shared" si="91"/>
        <v>2085302_chr16:2085362-2085363:G&gt;C</v>
      </c>
      <c r="G410" s="1" t="s">
        <v>1005</v>
      </c>
      <c r="H410" t="s">
        <v>907</v>
      </c>
      <c r="I410" t="s">
        <v>978</v>
      </c>
      <c r="J410" t="s">
        <v>979</v>
      </c>
      <c r="K410" t="str">
        <f t="shared" si="86"/>
        <v>AGAGACAGGAGCCTTCGGTGACTTGTATGTTGGAGAAGGCCAGGTGAGGCTGCGGGGCCGGCCTAGGTGCCTGGACAGGGCCACCTGGGCCTCAGCCTGCAGTGGGTAGGGAGTCTGGGCCCCCAACGCCCCACAAGGTAGGAGGATAGGCCAGG</v>
      </c>
      <c r="L410" t="str">
        <f t="shared" si="87"/>
        <v>CGGTG</v>
      </c>
      <c r="M410" t="str">
        <f t="shared" si="88"/>
        <v>TGTAT</v>
      </c>
      <c r="N410">
        <f t="shared" si="89"/>
        <v>155</v>
      </c>
      <c r="O410">
        <f t="shared" si="90"/>
        <v>3</v>
      </c>
      <c r="P410" t="str">
        <f t="shared" si="82"/>
        <v>AGAGACAGGAGCCTTCGGTGACTTGTATGTTGGAGAAGGCCAG</v>
      </c>
    </row>
    <row r="411" spans="1:16" x14ac:dyDescent="0.25">
      <c r="A411">
        <v>2086359</v>
      </c>
      <c r="B411" t="s">
        <v>45</v>
      </c>
      <c r="C411" t="s">
        <v>423</v>
      </c>
      <c r="D411" t="s">
        <v>534</v>
      </c>
      <c r="E411">
        <f t="shared" si="85"/>
        <v>15</v>
      </c>
      <c r="F411" t="str">
        <f>(A411&amp;"_"&amp;D411)</f>
        <v>2086359_wt</v>
      </c>
      <c r="G411" s="5" t="s">
        <v>1075</v>
      </c>
      <c r="H411" t="s">
        <v>529</v>
      </c>
      <c r="I411" t="s">
        <v>978</v>
      </c>
      <c r="J411" t="s">
        <v>979</v>
      </c>
      <c r="K411" t="str">
        <f t="shared" si="86"/>
        <v>AGAGACAGGAGCCTTCGGTGCGAGCACGATGACATCATGCAAGGTACGGCCTGGCGCCTACCCGCTCCTGCTGCCCCAGGCCTCAGGGCACGGCTCCCATCCAGTCCTGCTACCCCACGCCCTGGGGCATGGCCCAGGTAGGAGGATAGGCCAGG</v>
      </c>
      <c r="L411" t="str">
        <f t="shared" si="87"/>
        <v>CGGTG</v>
      </c>
      <c r="M411" t="str">
        <f t="shared" si="88"/>
        <v>GCACG</v>
      </c>
      <c r="N411">
        <f t="shared" si="89"/>
        <v>155</v>
      </c>
      <c r="O411">
        <f t="shared" si="90"/>
        <v>3</v>
      </c>
      <c r="P411" t="str">
        <f t="shared" si="82"/>
        <v>AGAGACAGGAGCCTTCGGTGCGAGCACGATGACATCATGCAAG</v>
      </c>
    </row>
    <row r="412" spans="1:16" x14ac:dyDescent="0.25">
      <c r="A412">
        <v>2086359</v>
      </c>
      <c r="B412" t="s">
        <v>45</v>
      </c>
      <c r="C412" t="s">
        <v>423</v>
      </c>
      <c r="E412">
        <f t="shared" si="85"/>
        <v>15</v>
      </c>
      <c r="F412" t="str">
        <f t="shared" ref="F412:F425" si="92">(A412&amp;"_"&amp;C412)</f>
        <v>2086359_chr16:2086379-2086380:G&gt;A</v>
      </c>
      <c r="G412" s="1" t="s">
        <v>1008</v>
      </c>
      <c r="H412" t="s">
        <v>908</v>
      </c>
      <c r="I412" t="s">
        <v>978</v>
      </c>
      <c r="J412" t="s">
        <v>979</v>
      </c>
      <c r="K412" t="str">
        <f t="shared" si="86"/>
        <v>AGAGACAGGAGCCTTCGGTGGATGCACGATGACATCATGCAAGATACGGCCTGGCGCCTACCCGCTCCTGCTGCCCCAGGCCTCAGGGCACGGCTCCCATCCAGTCCTGCTACCCCACGCCCTGGGGCATGGCCCAGGTAGGAGGATAGGCCAGG</v>
      </c>
      <c r="L412" t="str">
        <f t="shared" si="87"/>
        <v>CGGTG</v>
      </c>
      <c r="M412" t="str">
        <f t="shared" si="88"/>
        <v>GCACG</v>
      </c>
      <c r="N412">
        <f t="shared" si="89"/>
        <v>155</v>
      </c>
      <c r="O412">
        <f t="shared" si="90"/>
        <v>3</v>
      </c>
      <c r="P412" t="str">
        <f t="shared" si="82"/>
        <v>AGAGACAGGAGCCTTCGGTGGATGCACGATGACATCATGCAAG</v>
      </c>
    </row>
    <row r="413" spans="1:16" x14ac:dyDescent="0.25">
      <c r="A413">
        <v>2086359</v>
      </c>
      <c r="B413" t="s">
        <v>45</v>
      </c>
      <c r="C413" t="s">
        <v>424</v>
      </c>
      <c r="E413">
        <f t="shared" si="85"/>
        <v>15</v>
      </c>
      <c r="F413" t="str">
        <f t="shared" si="92"/>
        <v>2086359_chr16:2086380-2086381:T&gt;A</v>
      </c>
      <c r="G413" s="1" t="s">
        <v>1002</v>
      </c>
      <c r="H413" t="s">
        <v>909</v>
      </c>
      <c r="I413" t="s">
        <v>978</v>
      </c>
      <c r="J413" t="s">
        <v>979</v>
      </c>
      <c r="K413" t="str">
        <f t="shared" si="86"/>
        <v>AGAGACAGGAGCCTTCGGTGTGCGCACGATGACATCATGCAAGGAACGGCCTGGCGCCTACCCGCTCCTGCTGCCCCAGGCCTCAGGGCACGGCTCCCATCCAGTCCTGCTACCCCACGCCCTGGGGCATGGCCCAGGTAGGAGGATAGGCCAGG</v>
      </c>
      <c r="L413" t="str">
        <f t="shared" si="87"/>
        <v>CGGTG</v>
      </c>
      <c r="M413" t="str">
        <f t="shared" si="88"/>
        <v>GCACG</v>
      </c>
      <c r="N413">
        <f t="shared" si="89"/>
        <v>155</v>
      </c>
      <c r="O413">
        <f t="shared" si="90"/>
        <v>3</v>
      </c>
      <c r="P413" t="str">
        <f t="shared" si="82"/>
        <v>AGAGACAGGAGCCTTCGGTGTGCGCACGATGACATCATGCAAG</v>
      </c>
    </row>
    <row r="414" spans="1:16" x14ac:dyDescent="0.25">
      <c r="A414">
        <v>2086359</v>
      </c>
      <c r="B414" t="s">
        <v>45</v>
      </c>
      <c r="C414" t="s">
        <v>425</v>
      </c>
      <c r="E414">
        <f t="shared" si="85"/>
        <v>15</v>
      </c>
      <c r="F414" t="str">
        <f t="shared" si="92"/>
        <v>2086359_chr16:2086381-2086381:-&gt;GT</v>
      </c>
      <c r="G414" s="5" t="s">
        <v>1074</v>
      </c>
      <c r="H414" t="s">
        <v>910</v>
      </c>
      <c r="I414" t="s">
        <v>978</v>
      </c>
      <c r="J414" t="s">
        <v>979</v>
      </c>
      <c r="K414" t="str">
        <f t="shared" si="86"/>
        <v>AGAGACAGGAGCCTTCGGTGGCAGCACGATGACATCATGCAAGGTGTACGGCCTGGCGCCTACCCGCTCCTGCTGCCCCAGGCCTCAGGGCACGGCTCCCATCCAGTCCTGCTACCCCACGCCCTGGGGCATGGCCCAGGTAGGAGGATAGGCCAGG</v>
      </c>
      <c r="L414" t="str">
        <f t="shared" si="87"/>
        <v>CGGTG</v>
      </c>
      <c r="M414" t="str">
        <f t="shared" si="88"/>
        <v>GCACG</v>
      </c>
      <c r="N414">
        <f t="shared" si="89"/>
        <v>157</v>
      </c>
      <c r="O414">
        <f t="shared" si="90"/>
        <v>3</v>
      </c>
      <c r="P414" t="str">
        <f t="shared" si="82"/>
        <v>AGAGACAGGAGCCTTCGGTGGCAGCACGATGACATCATGCAAG</v>
      </c>
    </row>
    <row r="415" spans="1:16" x14ac:dyDescent="0.25">
      <c r="A415">
        <v>2086359</v>
      </c>
      <c r="B415" t="s">
        <v>45</v>
      </c>
      <c r="C415" t="s">
        <v>426</v>
      </c>
      <c r="E415">
        <f t="shared" si="85"/>
        <v>15</v>
      </c>
      <c r="F415" t="str">
        <f t="shared" si="92"/>
        <v>2086359_chr16:2086381-2086382:A&gt;G</v>
      </c>
      <c r="G415" s="1" t="s">
        <v>1023</v>
      </c>
      <c r="H415" t="s">
        <v>911</v>
      </c>
      <c r="I415" t="s">
        <v>978</v>
      </c>
      <c r="J415" t="s">
        <v>979</v>
      </c>
      <c r="K415" t="str">
        <f t="shared" si="86"/>
        <v>AGAGACAGGAGCCTTCGGTGTGTGCACGATGACATCATGCAAGGTGCGGCCTGGCGCCTACCCGCTCCTGCTGCCCCAGGCCTCAGGGCACGGCTCCCATCCAGTCCTGCTACCCCACGCCCTGGGGCATGGCCCAGGTAGGAGGATAGGCCAGG</v>
      </c>
      <c r="L415" t="str">
        <f t="shared" si="87"/>
        <v>CGGTG</v>
      </c>
      <c r="M415" t="str">
        <f t="shared" si="88"/>
        <v>GCACG</v>
      </c>
      <c r="N415">
        <f t="shared" si="89"/>
        <v>155</v>
      </c>
      <c r="O415">
        <f t="shared" si="90"/>
        <v>3</v>
      </c>
      <c r="P415" t="str">
        <f t="shared" si="82"/>
        <v>AGAGACAGGAGCCTTCGGTGTGTGCACGATGACATCATGCAAG</v>
      </c>
    </row>
    <row r="416" spans="1:16" x14ac:dyDescent="0.25">
      <c r="A416">
        <v>2086359</v>
      </c>
      <c r="B416" t="s">
        <v>45</v>
      </c>
      <c r="C416" t="s">
        <v>427</v>
      </c>
      <c r="E416">
        <f t="shared" si="85"/>
        <v>15</v>
      </c>
      <c r="F416" t="str">
        <f t="shared" si="92"/>
        <v>2086359_chr16:2086382-2086383:C&gt;A</v>
      </c>
      <c r="G416" s="1" t="s">
        <v>1024</v>
      </c>
      <c r="H416" t="s">
        <v>912</v>
      </c>
      <c r="I416" t="s">
        <v>978</v>
      </c>
      <c r="J416" t="s">
        <v>979</v>
      </c>
      <c r="K416" t="str">
        <f t="shared" si="86"/>
        <v>AGAGACAGGAGCCTTCGGTGACGGCACGATGACATCATGCAAGGTAAGGCCTGGCGCCTACCCGCTCCTGCTGCCCCAGGCCTCAGGGCACGGCTCCCATCCAGTCCTGCTACCCCACGCCCTGGGGCATGGCCCAGGTAGGAGGATAGGCCAGG</v>
      </c>
      <c r="L416" t="str">
        <f t="shared" si="87"/>
        <v>CGGTG</v>
      </c>
      <c r="M416" t="str">
        <f t="shared" si="88"/>
        <v>GCACG</v>
      </c>
      <c r="N416">
        <f t="shared" si="89"/>
        <v>155</v>
      </c>
      <c r="O416">
        <f t="shared" si="90"/>
        <v>3</v>
      </c>
      <c r="P416" t="str">
        <f t="shared" si="82"/>
        <v>AGAGACAGGAGCCTTCGGTGACGGCACGATGACATCATGCAAG</v>
      </c>
    </row>
    <row r="417" spans="1:16" x14ac:dyDescent="0.25">
      <c r="A417">
        <v>2086359</v>
      </c>
      <c r="B417" t="s">
        <v>45</v>
      </c>
      <c r="C417" t="s">
        <v>428</v>
      </c>
      <c r="E417">
        <f t="shared" si="85"/>
        <v>15</v>
      </c>
      <c r="F417" t="str">
        <f t="shared" si="92"/>
        <v>2086359_chr16:2086382-2086383:C&gt;T</v>
      </c>
      <c r="G417" s="1" t="s">
        <v>1025</v>
      </c>
      <c r="H417" t="s">
        <v>913</v>
      </c>
      <c r="I417" t="s">
        <v>978</v>
      </c>
      <c r="J417" t="s">
        <v>979</v>
      </c>
      <c r="K417" t="str">
        <f t="shared" si="86"/>
        <v>AGAGACAGGAGCCTTCGGTGTCAGCACGATGACATCATGCAAGGTATGGCCTGGCGCCTACCCGCTCCTGCTGCCCCAGGCCTCAGGGCACGGCTCCCATCCAGTCCTGCTACCCCACGCCCTGGGGCATGGCCCAGGTAGGAGGATAGGCCAGG</v>
      </c>
      <c r="L417" t="str">
        <f t="shared" si="87"/>
        <v>CGGTG</v>
      </c>
      <c r="M417" t="str">
        <f t="shared" si="88"/>
        <v>GCACG</v>
      </c>
      <c r="N417">
        <f t="shared" si="89"/>
        <v>155</v>
      </c>
      <c r="O417">
        <f t="shared" si="90"/>
        <v>3</v>
      </c>
      <c r="P417" t="str">
        <f t="shared" si="82"/>
        <v>AGAGACAGGAGCCTTCGGTGTCAGCACGATGACATCATGCAAG</v>
      </c>
    </row>
    <row r="418" spans="1:16" x14ac:dyDescent="0.25">
      <c r="A418">
        <v>2086359</v>
      </c>
      <c r="B418" t="s">
        <v>45</v>
      </c>
      <c r="C418" t="s">
        <v>429</v>
      </c>
      <c r="E418">
        <f t="shared" si="85"/>
        <v>15</v>
      </c>
      <c r="F418" t="str">
        <f t="shared" si="92"/>
        <v>2086359_chr16:2086390-2086391:C&gt;T</v>
      </c>
      <c r="G418" s="1" t="s">
        <v>1048</v>
      </c>
      <c r="H418" t="s">
        <v>914</v>
      </c>
      <c r="I418" t="s">
        <v>978</v>
      </c>
      <c r="J418" t="s">
        <v>979</v>
      </c>
      <c r="K418" t="str">
        <f t="shared" si="86"/>
        <v>AGAGACAGGAGCCTTCGGTGATCGCACGATGACATCATGCAAGGTACGGCCTGGTGCCTACCCGCTCCTGCTGCCCCAGGCCTCAGGGCACGGCTCCCATCCAGTCCTGCTACCCCACGCCCTGGGGCATGGCCCAGGTAGGAGGATAGGCCAGG</v>
      </c>
      <c r="L418" t="str">
        <f t="shared" si="87"/>
        <v>CGGTG</v>
      </c>
      <c r="M418" t="str">
        <f t="shared" si="88"/>
        <v>GCACG</v>
      </c>
      <c r="N418">
        <f t="shared" si="89"/>
        <v>155</v>
      </c>
      <c r="O418">
        <f t="shared" si="90"/>
        <v>3</v>
      </c>
      <c r="P418" t="str">
        <f t="shared" si="82"/>
        <v>AGAGACAGGAGCCTTCGGTGATCGCACGATGACATCATGCAAG</v>
      </c>
    </row>
    <row r="419" spans="1:16" x14ac:dyDescent="0.25">
      <c r="A419">
        <v>2086359</v>
      </c>
      <c r="B419" t="s">
        <v>45</v>
      </c>
      <c r="C419" t="s">
        <v>430</v>
      </c>
      <c r="E419">
        <f t="shared" si="85"/>
        <v>15</v>
      </c>
      <c r="F419" t="str">
        <f t="shared" si="92"/>
        <v>2086359_chr16:2086391-2086392:G&gt;A</v>
      </c>
      <c r="G419" s="1" t="s">
        <v>1027</v>
      </c>
      <c r="H419" t="s">
        <v>915</v>
      </c>
      <c r="I419" t="s">
        <v>978</v>
      </c>
      <c r="J419" t="s">
        <v>981</v>
      </c>
      <c r="K419" t="str">
        <f t="shared" si="86"/>
        <v>AGAGACAGGAGCCTTCGGTGGTGGCACGATGACATCATGCAAGGTACGGCCTGGCACCTACCCGCTCCTGCTGCCCCAGGCCTCAGGGCACGGCTCCCATCCAGTCCTGCTACCCCACGCCCTGGGGCATGGCCCAGGTAGGAGGATAGGCCAGG</v>
      </c>
      <c r="L419" t="str">
        <f t="shared" si="87"/>
        <v>CGGTG</v>
      </c>
      <c r="M419" t="str">
        <f t="shared" si="88"/>
        <v>GCACG</v>
      </c>
      <c r="N419">
        <f t="shared" si="89"/>
        <v>155</v>
      </c>
      <c r="O419">
        <f t="shared" si="90"/>
        <v>3</v>
      </c>
      <c r="P419" t="str">
        <f t="shared" si="82"/>
        <v>AGAGACAGGAGCCTTCGGTGGTGGCACGATGACATCATGCAAG</v>
      </c>
    </row>
    <row r="420" spans="1:16" x14ac:dyDescent="0.25">
      <c r="A420">
        <v>2086359</v>
      </c>
      <c r="B420" t="s">
        <v>45</v>
      </c>
      <c r="C420" t="s">
        <v>431</v>
      </c>
      <c r="E420">
        <f t="shared" si="85"/>
        <v>15</v>
      </c>
      <c r="F420" t="str">
        <f t="shared" si="92"/>
        <v>2086359_chr16:2086396-2086397:C&gt;T</v>
      </c>
      <c r="G420" s="1" t="s">
        <v>1028</v>
      </c>
      <c r="H420" t="s">
        <v>916</v>
      </c>
      <c r="I420" t="s">
        <v>978</v>
      </c>
      <c r="J420" t="s">
        <v>979</v>
      </c>
      <c r="K420" t="str">
        <f t="shared" si="86"/>
        <v>AGAGACAGGAGCCTTCGGTGCAGGCACGATGACATCATGCAAGGTACGGCCTGGCGCCTATCCGCTCCTGCTGCCCCAGGCCTCAGGGCACGGCTCCCATCCAGTCCTGCTACCCCACGCCCTGGGGCATGGCCCAGGTAGGAGGATAGGCCAGG</v>
      </c>
      <c r="L420" t="str">
        <f t="shared" si="87"/>
        <v>CGGTG</v>
      </c>
      <c r="M420" t="str">
        <f t="shared" si="88"/>
        <v>GCACG</v>
      </c>
      <c r="N420">
        <f t="shared" si="89"/>
        <v>155</v>
      </c>
      <c r="O420">
        <f t="shared" si="90"/>
        <v>3</v>
      </c>
      <c r="P420" t="str">
        <f t="shared" si="82"/>
        <v>AGAGACAGGAGCCTTCGGTGCAGGCACGATGACATCATGCAAG</v>
      </c>
    </row>
    <row r="421" spans="1:16" x14ac:dyDescent="0.25">
      <c r="A421">
        <v>2086359</v>
      </c>
      <c r="B421" t="s">
        <v>45</v>
      </c>
      <c r="C421" t="s">
        <v>432</v>
      </c>
      <c r="E421">
        <f t="shared" si="85"/>
        <v>15</v>
      </c>
      <c r="F421" t="str">
        <f t="shared" si="92"/>
        <v>2086359_chr16:2086398-2086399:C&gt;T</v>
      </c>
      <c r="G421" s="5" t="s">
        <v>1081</v>
      </c>
      <c r="H421" t="s">
        <v>917</v>
      </c>
      <c r="I421" t="s">
        <v>978</v>
      </c>
      <c r="J421" t="s">
        <v>979</v>
      </c>
      <c r="K421" t="str">
        <f t="shared" si="86"/>
        <v>AGAGACAGGAGCCTTCGGTGACTGCACGATGACATCATGCAAGGTACGGCCTGGCGCCTACCTGCTCCTGCTGCCCCAGGCCTCAGGGCACGGCTCCCATCCAGTCCTGCTACCCCACGCCCTGGGGCATGGCCCAGGTAGGAGGATAGGCCAGG</v>
      </c>
      <c r="L421" t="str">
        <f t="shared" si="87"/>
        <v>CGGTG</v>
      </c>
      <c r="M421" t="str">
        <f t="shared" si="88"/>
        <v>GCACG</v>
      </c>
      <c r="N421">
        <f t="shared" si="89"/>
        <v>155</v>
      </c>
      <c r="O421">
        <f t="shared" si="90"/>
        <v>3</v>
      </c>
      <c r="P421" t="str">
        <f t="shared" si="82"/>
        <v>AGAGACAGGAGCCTTCGGTGACTGCACGATGACATCATGCAAG</v>
      </c>
    </row>
    <row r="422" spans="1:16" x14ac:dyDescent="0.25">
      <c r="A422">
        <v>2086359</v>
      </c>
      <c r="B422" t="s">
        <v>45</v>
      </c>
      <c r="C422" t="s">
        <v>433</v>
      </c>
      <c r="E422">
        <f t="shared" si="85"/>
        <v>15</v>
      </c>
      <c r="F422" t="str">
        <f t="shared" si="92"/>
        <v>2086359_chr16:2086412-2086413:C&gt;T</v>
      </c>
      <c r="G422" s="1" t="s">
        <v>1029</v>
      </c>
      <c r="H422" t="s">
        <v>918</v>
      </c>
      <c r="I422" t="s">
        <v>978</v>
      </c>
      <c r="J422" t="s">
        <v>979</v>
      </c>
      <c r="K422" t="str">
        <f t="shared" si="86"/>
        <v>AGAGACAGGAGCCTTCGGTGGCTGCACGATGACATCATGCAAGGTACGGCCTGGCGCCTACCCGCTCCTGCTGCCCTAGGCCTCAGGGCACGGCTCCCATCCAGTCCTGCTACCCCACGCCCTGGGGCATGGCCCAGGTAGGAGGATAGGCCAGG</v>
      </c>
      <c r="L422" t="str">
        <f t="shared" si="87"/>
        <v>CGGTG</v>
      </c>
      <c r="M422" t="str">
        <f t="shared" si="88"/>
        <v>GCACG</v>
      </c>
      <c r="N422">
        <f t="shared" si="89"/>
        <v>155</v>
      </c>
      <c r="O422">
        <f t="shared" si="90"/>
        <v>3</v>
      </c>
      <c r="P422" t="str">
        <f t="shared" si="82"/>
        <v>AGAGACAGGAGCCTTCGGTGGCTGCACGATGACATCATGCAAG</v>
      </c>
    </row>
    <row r="423" spans="1:16" x14ac:dyDescent="0.25">
      <c r="A423">
        <v>2086359</v>
      </c>
      <c r="B423" t="s">
        <v>45</v>
      </c>
      <c r="C423" t="s">
        <v>434</v>
      </c>
      <c r="E423">
        <f t="shared" si="85"/>
        <v>15</v>
      </c>
      <c r="F423" t="str">
        <f t="shared" si="92"/>
        <v>2086359_chr16:2086426-2086427:C&gt;T</v>
      </c>
      <c r="G423" s="1" t="s">
        <v>1030</v>
      </c>
      <c r="H423" t="s">
        <v>919</v>
      </c>
      <c r="I423" t="s">
        <v>978</v>
      </c>
      <c r="J423" t="s">
        <v>979</v>
      </c>
      <c r="K423" t="str">
        <f t="shared" si="86"/>
        <v>AGAGACAGGAGCCTTCGGTGAGAGCACGATGACATCATGCAAGGTACGGCCTGGCGCCTACCCGCTCCTGCTGCCCCAGGCCTCAGGGCATGGCTCCCATCCAGTCCTGCTACCCCACGCCCTGGGGCATGGCCCAGGTAGGAGGATAGGCCAGG</v>
      </c>
      <c r="L423" t="str">
        <f t="shared" si="87"/>
        <v>CGGTG</v>
      </c>
      <c r="M423" t="str">
        <f t="shared" si="88"/>
        <v>GCACG</v>
      </c>
      <c r="N423">
        <f t="shared" si="89"/>
        <v>155</v>
      </c>
      <c r="O423">
        <f t="shared" si="90"/>
        <v>3</v>
      </c>
      <c r="P423" t="str">
        <f t="shared" si="82"/>
        <v>AGAGACAGGAGCCTTCGGTGAGAGCACGATGACATCATGCAAG</v>
      </c>
    </row>
    <row r="424" spans="1:16" x14ac:dyDescent="0.25">
      <c r="A424">
        <v>2086359</v>
      </c>
      <c r="B424" t="s">
        <v>45</v>
      </c>
      <c r="C424" t="s">
        <v>435</v>
      </c>
      <c r="E424">
        <f t="shared" si="85"/>
        <v>15</v>
      </c>
      <c r="F424" t="str">
        <f t="shared" si="92"/>
        <v>2086359_chr16:2086453-2086454:C&gt;T</v>
      </c>
      <c r="G424" s="1" t="s">
        <v>1031</v>
      </c>
      <c r="H424" t="s">
        <v>920</v>
      </c>
      <c r="I424" t="s">
        <v>978</v>
      </c>
      <c r="J424" t="s">
        <v>979</v>
      </c>
      <c r="K424" t="str">
        <f t="shared" si="86"/>
        <v>AGAGACAGGAGCCTTCGGTGATGGCACGATGACATCATGCAAGGTACGGCCTGGCGCCTACCCGCTCCTGCTGCCCCAGGCCTCAGGGCACGGCTCCCATCCAGTCCTGCTACCCCATGCCCTGGGGCATGGCCCAGGTAGGAGGATAGGCCAGG</v>
      </c>
      <c r="L424" t="str">
        <f t="shared" si="87"/>
        <v>CGGTG</v>
      </c>
      <c r="M424" t="str">
        <f t="shared" si="88"/>
        <v>GCACG</v>
      </c>
      <c r="N424">
        <f t="shared" si="89"/>
        <v>155</v>
      </c>
      <c r="O424">
        <f t="shared" si="90"/>
        <v>3</v>
      </c>
      <c r="P424" t="str">
        <f t="shared" si="82"/>
        <v>AGAGACAGGAGCCTTCGGTGATGGCACGATGACATCATGCAAG</v>
      </c>
    </row>
    <row r="425" spans="1:16" x14ac:dyDescent="0.25">
      <c r="A425">
        <v>2086359</v>
      </c>
      <c r="B425" t="s">
        <v>45</v>
      </c>
      <c r="C425" t="s">
        <v>436</v>
      </c>
      <c r="E425">
        <f t="shared" si="85"/>
        <v>15</v>
      </c>
      <c r="F425" t="str">
        <f t="shared" si="92"/>
        <v>2086359_chr16:2086454-2086455:G&gt;A</v>
      </c>
      <c r="G425" s="1" t="s">
        <v>1032</v>
      </c>
      <c r="H425" t="s">
        <v>921</v>
      </c>
      <c r="I425" t="s">
        <v>978</v>
      </c>
      <c r="J425" t="s">
        <v>979</v>
      </c>
      <c r="K425" t="str">
        <f t="shared" si="86"/>
        <v>AGAGACAGGAGCCTTCGGTGCACGCACGATGACATCATGCAAGGTACGGCCTGGCGCCTACCCGCTCCTGCTGCCCCAGGCCTCAGGGCACGGCTCCCATCCAGTCCTGCTACCCCACACCCTGGGGCATGGCCCAGGTAGGAGGATAGGCCAGG</v>
      </c>
      <c r="L425" t="str">
        <f t="shared" si="87"/>
        <v>CGGTG</v>
      </c>
      <c r="M425" t="str">
        <f t="shared" si="88"/>
        <v>GCACG</v>
      </c>
      <c r="N425">
        <f t="shared" si="89"/>
        <v>155</v>
      </c>
      <c r="O425">
        <f t="shared" si="90"/>
        <v>3</v>
      </c>
      <c r="P425" t="str">
        <f t="shared" si="82"/>
        <v>AGAGACAGGAGCCTTCGGTGCACGCACGATGACATCATGCAAG</v>
      </c>
    </row>
    <row r="426" spans="1:16" x14ac:dyDescent="0.25">
      <c r="A426">
        <v>2086851</v>
      </c>
      <c r="B426" t="s">
        <v>46</v>
      </c>
      <c r="C426" t="s">
        <v>437</v>
      </c>
      <c r="D426" t="s">
        <v>534</v>
      </c>
      <c r="E426">
        <f t="shared" si="85"/>
        <v>14</v>
      </c>
      <c r="F426" t="str">
        <f>(A426&amp;"_"&amp;D426)</f>
        <v>2086851_wt</v>
      </c>
      <c r="G426" t="s">
        <v>982</v>
      </c>
      <c r="H426" t="s">
        <v>530</v>
      </c>
      <c r="I426" t="s">
        <v>978</v>
      </c>
      <c r="J426" t="s">
        <v>979</v>
      </c>
      <c r="K426" t="str">
        <f t="shared" si="86"/>
        <v>AGAGACAGGAGCCTTCGGTGTATCAAGCTTGGCACCATCAAGGTGAGTGAGGGGCCGTCAGTGAGGCTGGGCCCCAGGCAGGTGCCCACTGCTGTGTCCCGGGTTGGTGGCAGGTCCTCCTCCCTGAGCTTCGGAGGTAGGAGGATAGGCCAGG</v>
      </c>
      <c r="L426" t="str">
        <f t="shared" si="87"/>
        <v>CGGTG</v>
      </c>
      <c r="M426" t="str">
        <f t="shared" si="88"/>
        <v>TCAAG</v>
      </c>
      <c r="N426">
        <f t="shared" si="89"/>
        <v>154</v>
      </c>
      <c r="O426">
        <f t="shared" si="90"/>
        <v>2</v>
      </c>
      <c r="P426" t="str">
        <f t="shared" ref="P426:P452" si="93">LEFT(K426,42)</f>
        <v>AGAGACAGGAGCCTTCGGTGTATCAAGCTTGGCACCATCAAG</v>
      </c>
    </row>
    <row r="427" spans="1:16" x14ac:dyDescent="0.25">
      <c r="A427">
        <v>2086851</v>
      </c>
      <c r="B427" t="s">
        <v>46</v>
      </c>
      <c r="C427" t="s">
        <v>437</v>
      </c>
      <c r="E427">
        <f t="shared" si="85"/>
        <v>14</v>
      </c>
      <c r="F427" t="str">
        <f t="shared" ref="F427:F439" si="94">(A427&amp;"_"&amp;C427)</f>
        <v>2086851_chr16:2086871-2086872:G&gt;-</v>
      </c>
      <c r="G427" t="s">
        <v>983</v>
      </c>
      <c r="H427" t="s">
        <v>922</v>
      </c>
      <c r="I427" t="s">
        <v>978</v>
      </c>
      <c r="J427" t="s">
        <v>979</v>
      </c>
      <c r="K427" t="str">
        <f t="shared" si="86"/>
        <v>AGAGACAGGAGCCTTCGGTGAGTCAAGCTTGGCACCATCAAGTGAGTGAGGGGCCGTCAGTGAGGCTGGGCCCCAGGCAGGTGCCCACTGCTGTGTCCCGGGTTGGTGGCAGGTCCTCCTCCCTGAGCTTCGGAGGTAGGAGGATAGGCCAGG</v>
      </c>
      <c r="L427" t="str">
        <f t="shared" si="87"/>
        <v>CGGTG</v>
      </c>
      <c r="M427" t="str">
        <f t="shared" si="88"/>
        <v>TCAAG</v>
      </c>
      <c r="N427">
        <f t="shared" si="89"/>
        <v>153</v>
      </c>
      <c r="O427">
        <f t="shared" si="90"/>
        <v>2</v>
      </c>
      <c r="P427" t="str">
        <f t="shared" si="93"/>
        <v>AGAGACAGGAGCCTTCGGTGAGTCAAGCTTGGCACCATCAAG</v>
      </c>
    </row>
    <row r="428" spans="1:16" x14ac:dyDescent="0.25">
      <c r="A428">
        <v>2086851</v>
      </c>
      <c r="B428" t="s">
        <v>46</v>
      </c>
      <c r="C428" t="s">
        <v>438</v>
      </c>
      <c r="E428">
        <f t="shared" si="85"/>
        <v>14</v>
      </c>
      <c r="F428" t="str">
        <f t="shared" si="94"/>
        <v>2086851_chr16:2086871-2086872:G&gt;A</v>
      </c>
      <c r="G428" t="s">
        <v>984</v>
      </c>
      <c r="H428" t="s">
        <v>923</v>
      </c>
      <c r="I428" t="s">
        <v>978</v>
      </c>
      <c r="J428" t="s">
        <v>979</v>
      </c>
      <c r="K428" t="str">
        <f t="shared" si="86"/>
        <v>AGAGACAGGAGCCTTCGGTGCATCAAGCTTGGCACCATCAAGATGAGTGAGGGGCCGTCAGTGAGGCTGGGCCCCAGGCAGGTGCCCACTGCTGTGTCCCGGGTTGGTGGCAGGTCCTCCTCCCTGAGCTTCGGAGGTAGGAGGATAGGCCAGG</v>
      </c>
      <c r="L428" t="str">
        <f t="shared" si="87"/>
        <v>CGGTG</v>
      </c>
      <c r="M428" t="str">
        <f t="shared" si="88"/>
        <v>TCAAG</v>
      </c>
      <c r="N428">
        <f t="shared" si="89"/>
        <v>154</v>
      </c>
      <c r="O428">
        <f t="shared" si="90"/>
        <v>2</v>
      </c>
      <c r="P428" t="str">
        <f t="shared" si="93"/>
        <v>AGAGACAGGAGCCTTCGGTGCATCAAGCTTGGCACCATCAAG</v>
      </c>
    </row>
    <row r="429" spans="1:16" x14ac:dyDescent="0.25">
      <c r="A429">
        <v>2086851</v>
      </c>
      <c r="B429" t="s">
        <v>46</v>
      </c>
      <c r="C429" t="s">
        <v>439</v>
      </c>
      <c r="E429">
        <f t="shared" si="85"/>
        <v>14</v>
      </c>
      <c r="F429" t="str">
        <f t="shared" si="94"/>
        <v>2086851_chr16:2086871-2086872:G&gt;C</v>
      </c>
      <c r="G429" t="s">
        <v>985</v>
      </c>
      <c r="H429" t="s">
        <v>924</v>
      </c>
      <c r="I429" t="s">
        <v>978</v>
      </c>
      <c r="J429" t="s">
        <v>979</v>
      </c>
      <c r="K429" t="str">
        <f t="shared" si="86"/>
        <v>AGAGACAGGAGCCTTCGGTGATTCAAGCTTGGCACCATCAAGCTGAGTGAGGGGCCGTCAGTGAGGCTGGGCCCCAGGCAGGTGCCCACTGCTGTGTCCCGGGTTGGTGGCAGGTCCTCCTCCCTGAGCTTCGGAGGTAGGAGGATAGGCCAGG</v>
      </c>
      <c r="L429" t="str">
        <f t="shared" si="87"/>
        <v>CGGTG</v>
      </c>
      <c r="M429" t="str">
        <f t="shared" si="88"/>
        <v>TCAAG</v>
      </c>
      <c r="N429">
        <f t="shared" si="89"/>
        <v>154</v>
      </c>
      <c r="O429">
        <f t="shared" si="90"/>
        <v>2</v>
      </c>
      <c r="P429" t="str">
        <f t="shared" si="93"/>
        <v>AGAGACAGGAGCCTTCGGTGATTCAAGCTTGGCACCATCAAG</v>
      </c>
    </row>
    <row r="430" spans="1:16" x14ac:dyDescent="0.25">
      <c r="A430">
        <v>2086851</v>
      </c>
      <c r="B430" t="s">
        <v>46</v>
      </c>
      <c r="C430" t="s">
        <v>440</v>
      </c>
      <c r="E430">
        <f t="shared" si="85"/>
        <v>14</v>
      </c>
      <c r="F430" t="str">
        <f t="shared" si="94"/>
        <v>2086851_chr16:2086871-2086872:G&gt;T</v>
      </c>
      <c r="G430" t="s">
        <v>1042</v>
      </c>
      <c r="H430" t="s">
        <v>925</v>
      </c>
      <c r="I430" t="s">
        <v>978</v>
      </c>
      <c r="J430" t="s">
        <v>979</v>
      </c>
      <c r="K430" t="str">
        <f t="shared" si="86"/>
        <v>AGAGACAGGAGCCTTCGGTGTGTCAAGCTTGGCACCATCAAGTTGAGTGAGGGGCCGTCAGTGAGGCTGGGCCCCAGGCAGGTGCCCACTGCTGTGTCCCGGGTTGGTGGCAGGTCCTCCTCCCTGAGCTTCGGAGGTAGGAGGATAGGCCAGG</v>
      </c>
      <c r="L430" t="str">
        <f t="shared" si="87"/>
        <v>CGGTG</v>
      </c>
      <c r="M430" t="str">
        <f t="shared" si="88"/>
        <v>TCAAG</v>
      </c>
      <c r="N430">
        <f t="shared" si="89"/>
        <v>154</v>
      </c>
      <c r="O430">
        <f t="shared" si="90"/>
        <v>2</v>
      </c>
      <c r="P430" t="str">
        <f t="shared" si="93"/>
        <v>AGAGACAGGAGCCTTCGGTGTGTCAAGCTTGGCACCATCAAG</v>
      </c>
    </row>
    <row r="431" spans="1:16" x14ac:dyDescent="0.25">
      <c r="A431">
        <v>2086851</v>
      </c>
      <c r="B431" t="s">
        <v>46</v>
      </c>
      <c r="C431" t="s">
        <v>441</v>
      </c>
      <c r="E431">
        <f t="shared" si="85"/>
        <v>14</v>
      </c>
      <c r="F431" t="str">
        <f t="shared" si="94"/>
        <v>2086851_chr16:2086872-2086872:-&gt;A</v>
      </c>
      <c r="G431" s="4" t="s">
        <v>1094</v>
      </c>
      <c r="H431" t="s">
        <v>926</v>
      </c>
      <c r="I431" t="s">
        <v>978</v>
      </c>
      <c r="J431" t="s">
        <v>979</v>
      </c>
      <c r="K431" t="str">
        <f t="shared" si="86"/>
        <v>AGAGACAGGAGCCTTCGGTGTTTCAAGCTTGGCACCATCAAGGATGAGTGAGGGGCCGTCAGTGAGGCTGGGCCCCAGGCAGGTGCCCACTGCTGTGTCCCGGGTTGGTGGCAGGTCCTCCTCCCTGAGCTTCGGAGGTAGGAGGATAGGCCAGG</v>
      </c>
      <c r="L431" t="str">
        <f t="shared" si="87"/>
        <v>CGGTG</v>
      </c>
      <c r="M431" t="str">
        <f t="shared" si="88"/>
        <v>TCAAG</v>
      </c>
      <c r="N431">
        <f t="shared" si="89"/>
        <v>155</v>
      </c>
      <c r="O431">
        <f t="shared" si="90"/>
        <v>2</v>
      </c>
      <c r="P431" t="str">
        <f t="shared" si="93"/>
        <v>AGAGACAGGAGCCTTCGGTGTTTCAAGCTTGGCACCATCAAG</v>
      </c>
    </row>
    <row r="432" spans="1:16" x14ac:dyDescent="0.25">
      <c r="A432">
        <v>2086851</v>
      </c>
      <c r="B432" t="s">
        <v>46</v>
      </c>
      <c r="C432" t="s">
        <v>442</v>
      </c>
      <c r="E432">
        <f t="shared" si="85"/>
        <v>14</v>
      </c>
      <c r="F432" t="str">
        <f t="shared" si="94"/>
        <v>2086851_chr16:2086872-2086872:-&gt;G</v>
      </c>
      <c r="G432" t="s">
        <v>987</v>
      </c>
      <c r="H432" t="s">
        <v>927</v>
      </c>
      <c r="I432" t="s">
        <v>978</v>
      </c>
      <c r="J432" t="s">
        <v>979</v>
      </c>
      <c r="K432" t="str">
        <f t="shared" si="86"/>
        <v>AGAGACAGGAGCCTTCGGTGGCTCAAGCTTGGCACCATCAAGGGTGAGTGAGGGGCCGTCAGTGAGGCTGGGCCCCAGGCAGGTGCCCACTGCTGTGTCCCGGGTTGGTGGCAGGTCCTCCTCCCTGAGCTTCGGAGGTAGGAGGATAGGCCAGG</v>
      </c>
      <c r="L432" t="str">
        <f t="shared" si="87"/>
        <v>CGGTG</v>
      </c>
      <c r="M432" t="str">
        <f t="shared" si="88"/>
        <v>TCAAG</v>
      </c>
      <c r="N432">
        <f t="shared" si="89"/>
        <v>155</v>
      </c>
      <c r="O432">
        <f t="shared" si="90"/>
        <v>2</v>
      </c>
      <c r="P432" t="str">
        <f t="shared" si="93"/>
        <v>AGAGACAGGAGCCTTCGGTGGCTCAAGCTTGGCACCATCAAG</v>
      </c>
    </row>
    <row r="433" spans="1:16" x14ac:dyDescent="0.25">
      <c r="A433">
        <v>2086851</v>
      </c>
      <c r="B433" t="s">
        <v>46</v>
      </c>
      <c r="C433" t="s">
        <v>443</v>
      </c>
      <c r="E433">
        <f t="shared" si="85"/>
        <v>14</v>
      </c>
      <c r="F433" t="str">
        <f t="shared" si="94"/>
        <v>2086851_chr16:2086872-2086873:T&gt;G</v>
      </c>
      <c r="G433" t="s">
        <v>988</v>
      </c>
      <c r="H433" t="s">
        <v>928</v>
      </c>
      <c r="I433" t="s">
        <v>978</v>
      </c>
      <c r="J433" t="s">
        <v>979</v>
      </c>
      <c r="K433" t="str">
        <f t="shared" si="86"/>
        <v>AGAGACAGGAGCCTTCGGTGACTCAAGCTTGGCACCATCAAGGGGAGTGAGGGGCCGTCAGTGAGGCTGGGCCCCAGGCAGGTGCCCACTGCTGTGTCCCGGGTTGGTGGCAGGTCCTCCTCCCTGAGCTTCGGAGGTAGGAGGATAGGCCAGG</v>
      </c>
      <c r="L433" t="str">
        <f t="shared" si="87"/>
        <v>CGGTG</v>
      </c>
      <c r="M433" t="str">
        <f t="shared" si="88"/>
        <v>TCAAG</v>
      </c>
      <c r="N433">
        <f t="shared" si="89"/>
        <v>154</v>
      </c>
      <c r="O433">
        <f t="shared" si="90"/>
        <v>2</v>
      </c>
      <c r="P433" t="str">
        <f t="shared" si="93"/>
        <v>AGAGACAGGAGCCTTCGGTGACTCAAGCTTGGCACCATCAAG</v>
      </c>
    </row>
    <row r="434" spans="1:16" x14ac:dyDescent="0.25">
      <c r="A434">
        <v>2086851</v>
      </c>
      <c r="B434" t="s">
        <v>46</v>
      </c>
      <c r="C434" t="s">
        <v>444</v>
      </c>
      <c r="E434">
        <f t="shared" si="85"/>
        <v>14</v>
      </c>
      <c r="F434" t="str">
        <f t="shared" si="94"/>
        <v>2086851_chr16:2086873-2086873:-&gt;T</v>
      </c>
      <c r="G434" t="s">
        <v>989</v>
      </c>
      <c r="H434" t="s">
        <v>929</v>
      </c>
      <c r="I434" t="s">
        <v>978</v>
      </c>
      <c r="J434" t="s">
        <v>979</v>
      </c>
      <c r="K434" t="str">
        <f t="shared" si="86"/>
        <v>AGAGACAGGAGCCTTCGGTGCGTCAAGCTTGGCACCATCAAGGTTGAGTGAGGGGCCGTCAGTGAGGCTGGGCCCCAGGCAGGTGCCCACTGCTGTGTCCCGGGTTGGTGGCAGGTCCTCCTCCCTGAGCTTCGGAGGTAGGAGGATAGGCCAGG</v>
      </c>
      <c r="L434" t="str">
        <f t="shared" si="87"/>
        <v>CGGTG</v>
      </c>
      <c r="M434" t="str">
        <f t="shared" si="88"/>
        <v>TCAAG</v>
      </c>
      <c r="N434">
        <f t="shared" si="89"/>
        <v>155</v>
      </c>
      <c r="O434">
        <f t="shared" si="90"/>
        <v>2</v>
      </c>
      <c r="P434" t="str">
        <f t="shared" si="93"/>
        <v>AGAGACAGGAGCCTTCGGTGCGTCAAGCTTGGCACCATCAAG</v>
      </c>
    </row>
    <row r="435" spans="1:16" x14ac:dyDescent="0.25">
      <c r="A435">
        <v>2086851</v>
      </c>
      <c r="B435" t="s">
        <v>46</v>
      </c>
      <c r="C435" t="s">
        <v>445</v>
      </c>
      <c r="E435">
        <f t="shared" si="85"/>
        <v>14</v>
      </c>
      <c r="F435" t="str">
        <f t="shared" si="94"/>
        <v>2086851_chr16:2086875-2086876:G&gt;-</v>
      </c>
      <c r="G435" t="s">
        <v>990</v>
      </c>
      <c r="H435" t="s">
        <v>930</v>
      </c>
      <c r="I435" t="s">
        <v>978</v>
      </c>
      <c r="J435" t="s">
        <v>979</v>
      </c>
      <c r="K435" t="str">
        <f t="shared" si="86"/>
        <v>AGAGACAGGAGCCTTCGGTGGTTCAAGCTTGGCACCATCAAGGTGATGAGGGGCCGTCAGTGAGGCTGGGCCCCAGGCAGGTGCCCACTGCTGTGTCCCGGGTTGGTGGCAGGTCCTCCTCCCTGAGCTTCGGAGGTAGGAGGATAGGCCAGG</v>
      </c>
      <c r="L435" t="str">
        <f t="shared" si="87"/>
        <v>CGGTG</v>
      </c>
      <c r="M435" t="str">
        <f t="shared" si="88"/>
        <v>TCAAG</v>
      </c>
      <c r="N435">
        <f t="shared" si="89"/>
        <v>153</v>
      </c>
      <c r="O435">
        <f t="shared" si="90"/>
        <v>2</v>
      </c>
      <c r="P435" t="str">
        <f t="shared" si="93"/>
        <v>AGAGACAGGAGCCTTCGGTGGTTCAAGCTTGGCACCATCAAG</v>
      </c>
    </row>
    <row r="436" spans="1:16" x14ac:dyDescent="0.25">
      <c r="A436">
        <v>2086851</v>
      </c>
      <c r="B436" t="s">
        <v>46</v>
      </c>
      <c r="C436" t="s">
        <v>446</v>
      </c>
      <c r="E436">
        <f t="shared" si="85"/>
        <v>14</v>
      </c>
      <c r="F436" t="str">
        <f t="shared" si="94"/>
        <v>2086851_chr16:2086875-2086876:G&gt;A</v>
      </c>
      <c r="G436" t="s">
        <v>991</v>
      </c>
      <c r="H436" t="s">
        <v>931</v>
      </c>
      <c r="I436" t="s">
        <v>978</v>
      </c>
      <c r="J436" t="s">
        <v>981</v>
      </c>
      <c r="K436" t="str">
        <f t="shared" si="86"/>
        <v>AGAGACAGGAGCCTTCGGTGGATCAAGCTTGGCACCATCAAGGTGAATGAGGGGCCGTCAGTGAGGCTGGGCCCCAGGCAGGTGCCCACTGCTGTGTCCCGGGTTGGTGGCAGGTCCTCCTCCCTGAGCTTCGGAGGTAGGAGGATAGGCCAGG</v>
      </c>
      <c r="L436" t="str">
        <f t="shared" si="87"/>
        <v>CGGTG</v>
      </c>
      <c r="M436" t="str">
        <f t="shared" si="88"/>
        <v>TCAAG</v>
      </c>
      <c r="N436">
        <f t="shared" si="89"/>
        <v>154</v>
      </c>
      <c r="O436">
        <f t="shared" si="90"/>
        <v>2</v>
      </c>
      <c r="P436" t="str">
        <f t="shared" si="93"/>
        <v>AGAGACAGGAGCCTTCGGTGGATCAAGCTTGGCACCATCAAG</v>
      </c>
    </row>
    <row r="437" spans="1:16" x14ac:dyDescent="0.25">
      <c r="A437">
        <v>2086851</v>
      </c>
      <c r="B437" t="s">
        <v>46</v>
      </c>
      <c r="C437" t="s">
        <v>447</v>
      </c>
      <c r="E437">
        <f t="shared" si="85"/>
        <v>14</v>
      </c>
      <c r="F437" t="str">
        <f t="shared" si="94"/>
        <v>2086851_chr16:2086882-2086883:G&gt;A</v>
      </c>
      <c r="G437" t="s">
        <v>992</v>
      </c>
      <c r="H437" t="s">
        <v>932</v>
      </c>
      <c r="I437" t="s">
        <v>978</v>
      </c>
      <c r="J437" t="s">
        <v>979</v>
      </c>
      <c r="K437" t="str">
        <f t="shared" si="86"/>
        <v>AGAGACAGGAGCCTTCGGTGTCTCAAGCTTGGCACCATCAAGGTGAGTGAGGGACCGTCAGTGAGGCTGGGCCCCAGGCAGGTGCCCACTGCTGTGTCCCGGGTTGGTGGCAGGTCCTCCTCCCTGAGCTTCGGAGGTAGGAGGATAGGCCAGG</v>
      </c>
      <c r="L437" t="str">
        <f t="shared" si="87"/>
        <v>CGGTG</v>
      </c>
      <c r="M437" t="str">
        <f t="shared" si="88"/>
        <v>TCAAG</v>
      </c>
      <c r="N437">
        <f t="shared" si="89"/>
        <v>154</v>
      </c>
      <c r="O437">
        <f t="shared" si="90"/>
        <v>2</v>
      </c>
      <c r="P437" t="str">
        <f t="shared" si="93"/>
        <v>AGAGACAGGAGCCTTCGGTGTCTCAAGCTTGGCACCATCAAG</v>
      </c>
    </row>
    <row r="438" spans="1:16" x14ac:dyDescent="0.25">
      <c r="A438">
        <v>2086851</v>
      </c>
      <c r="B438" t="s">
        <v>46</v>
      </c>
      <c r="C438" t="s">
        <v>448</v>
      </c>
      <c r="E438">
        <f t="shared" si="85"/>
        <v>14</v>
      </c>
      <c r="F438" t="str">
        <f t="shared" si="94"/>
        <v>2086851_chr16:2086885-2086886:G&gt;A</v>
      </c>
      <c r="G438" t="s">
        <v>1020</v>
      </c>
      <c r="H438" t="s">
        <v>933</v>
      </c>
      <c r="I438" t="s">
        <v>978</v>
      </c>
      <c r="J438" t="s">
        <v>979</v>
      </c>
      <c r="K438" t="str">
        <f t="shared" si="86"/>
        <v>AGAGACAGGAGCCTTCGGTGAATCAAGCTTGGCACCATCAAGGTGAGTGAGGGGCCATCAGTGAGGCTGGGCCCCAGGCAGGTGCCCACTGCTGTGTCCCGGGTTGGTGGCAGGTCCTCCTCCCTGAGCTTCGGAGGTAGGAGGATAGGCCAGG</v>
      </c>
      <c r="L438" t="str">
        <f t="shared" si="87"/>
        <v>CGGTG</v>
      </c>
      <c r="M438" t="str">
        <f t="shared" si="88"/>
        <v>TCAAG</v>
      </c>
      <c r="N438">
        <f t="shared" si="89"/>
        <v>154</v>
      </c>
      <c r="O438">
        <f t="shared" si="90"/>
        <v>2</v>
      </c>
      <c r="P438" t="str">
        <f t="shared" si="93"/>
        <v>AGAGACAGGAGCCTTCGGTGAATCAAGCTTGGCACCATCAAG</v>
      </c>
    </row>
    <row r="439" spans="1:16" x14ac:dyDescent="0.25">
      <c r="A439">
        <v>2086851</v>
      </c>
      <c r="B439" t="s">
        <v>46</v>
      </c>
      <c r="C439" t="s">
        <v>449</v>
      </c>
      <c r="E439">
        <f t="shared" si="85"/>
        <v>14</v>
      </c>
      <c r="F439" t="str">
        <f t="shared" si="94"/>
        <v>2086851_chr16:2086922-2086922:-&gt;T</v>
      </c>
      <c r="G439" t="s">
        <v>1014</v>
      </c>
      <c r="H439" t="s">
        <v>934</v>
      </c>
      <c r="I439" t="s">
        <v>978</v>
      </c>
      <c r="J439" t="s">
        <v>979</v>
      </c>
      <c r="K439" t="str">
        <f t="shared" si="86"/>
        <v>AGAGACAGGAGCCTTCGGTGCCTCAAGCTTGGCACCATCAAGGTGAGTGAGGGGCCGTCAGTGAGGCTGGGCCCCAGGCAGGTGCCCACTGCTTGTGTCCCGGGTTGGTGGCAGGTCCTCCTCCCTGAGCTTCGGAGGTAGGAGGATAGGCCAGG</v>
      </c>
      <c r="L439" t="str">
        <f t="shared" si="87"/>
        <v>CGGTG</v>
      </c>
      <c r="M439" t="str">
        <f t="shared" si="88"/>
        <v>TCAAG</v>
      </c>
      <c r="N439">
        <f t="shared" si="89"/>
        <v>155</v>
      </c>
      <c r="O439">
        <f t="shared" si="90"/>
        <v>2</v>
      </c>
      <c r="P439" t="str">
        <f t="shared" si="93"/>
        <v>AGAGACAGGAGCCTTCGGTGCCTCAAGCTTGGCACCATCAAG</v>
      </c>
    </row>
    <row r="440" spans="1:16" x14ac:dyDescent="0.25">
      <c r="A440">
        <v>2087921</v>
      </c>
      <c r="B440" t="s">
        <v>47</v>
      </c>
      <c r="C440" t="s">
        <v>450</v>
      </c>
      <c r="D440" t="s">
        <v>534</v>
      </c>
      <c r="E440">
        <f t="shared" si="85"/>
        <v>13</v>
      </c>
      <c r="F440" t="str">
        <f>(A440&amp;"_"&amp;D440)</f>
        <v>2087921_wt</v>
      </c>
      <c r="G440" t="s">
        <v>982</v>
      </c>
      <c r="H440" t="s">
        <v>531</v>
      </c>
      <c r="I440" t="s">
        <v>978</v>
      </c>
      <c r="J440" t="s">
        <v>979</v>
      </c>
      <c r="K440" t="str">
        <f t="shared" si="86"/>
        <v>AGAGACAGGAGCCTTCGGTGTAGTCCCTGCAGTGCAGGAAAGGTAGGGCCGGGTGGGGCCCTGCAGTGCAGGAAAGGTAGGGCCGGGTGGGGCCCTGCAGTGTGGCGCCAAGAGCCCTGGGCCTGGCGTGACCAAGGTAGGAGGATAGGCCAGG</v>
      </c>
      <c r="L440" t="str">
        <f t="shared" si="87"/>
        <v>CGGTG</v>
      </c>
      <c r="M440" t="str">
        <f t="shared" si="88"/>
        <v>GTCCC</v>
      </c>
      <c r="N440">
        <f t="shared" si="89"/>
        <v>154</v>
      </c>
      <c r="O440">
        <f t="shared" si="90"/>
        <v>2</v>
      </c>
      <c r="P440" t="str">
        <f t="shared" si="93"/>
        <v>AGAGACAGGAGCCTTCGGTGTAGTCCCTGCAGTGCAGGAAAG</v>
      </c>
    </row>
    <row r="441" spans="1:16" x14ac:dyDescent="0.25">
      <c r="A441">
        <v>2087921</v>
      </c>
      <c r="B441" t="s">
        <v>47</v>
      </c>
      <c r="C441" t="s">
        <v>450</v>
      </c>
      <c r="E441">
        <f t="shared" si="85"/>
        <v>13</v>
      </c>
      <c r="F441" t="str">
        <f t="shared" ref="F441:F452" si="95">(A441&amp;"_"&amp;C441)</f>
        <v>2087921_chr16:2087941-2087942:G&gt;-</v>
      </c>
      <c r="G441" t="s">
        <v>983</v>
      </c>
      <c r="H441" t="s">
        <v>935</v>
      </c>
      <c r="I441" t="s">
        <v>978</v>
      </c>
      <c r="J441" t="s">
        <v>979</v>
      </c>
      <c r="K441" t="str">
        <f t="shared" si="86"/>
        <v>AGAGACAGGAGCCTTCGGTGAGGTCCCTGCAGTGCAGGAAAGTAGGGCCGGGTGGGGCCCTGCAGTGCAGGAAAGGTAGGGCCGGGTGGGGCCCTGCAGTGTGGCGCCAAGAGCCCTGGGCCTGGCGTGACCAAGGTAGGAGGATAGGCCAGG</v>
      </c>
      <c r="L441" t="str">
        <f t="shared" si="87"/>
        <v>CGGTG</v>
      </c>
      <c r="M441" t="str">
        <f t="shared" si="88"/>
        <v>GTCCC</v>
      </c>
      <c r="N441">
        <f t="shared" si="89"/>
        <v>153</v>
      </c>
      <c r="O441">
        <f t="shared" si="90"/>
        <v>2</v>
      </c>
      <c r="P441" t="str">
        <f t="shared" si="93"/>
        <v>AGAGACAGGAGCCTTCGGTGAGGTCCCTGCAGTGCAGGAAAG</v>
      </c>
    </row>
    <row r="442" spans="1:16" x14ac:dyDescent="0.25">
      <c r="A442">
        <v>2087921</v>
      </c>
      <c r="B442" t="s">
        <v>47</v>
      </c>
      <c r="C442" t="s">
        <v>451</v>
      </c>
      <c r="E442">
        <f t="shared" si="85"/>
        <v>13</v>
      </c>
      <c r="F442" t="str">
        <f t="shared" si="95"/>
        <v>2087921_chr16:2087941-2087942:G&gt;A</v>
      </c>
      <c r="G442" t="s">
        <v>984</v>
      </c>
      <c r="H442" t="s">
        <v>936</v>
      </c>
      <c r="I442" t="s">
        <v>980</v>
      </c>
      <c r="J442" t="s">
        <v>979</v>
      </c>
      <c r="K442" t="str">
        <f t="shared" si="86"/>
        <v>AGAGACAGGAGCCTTCGGTGCAGTCCCTGCAGTGCAGGAAAGATAGGGCCGGGTGGGGCCCTGCAGTGCAGGAAAGGTAGGGCCGGGTGGGGCCCTGCAGTGTGGCGCCAAGAGCCCTGGGCCTGGCGTGACCAAGGTAGGAGGATAGGCCAGG</v>
      </c>
      <c r="L442" t="str">
        <f t="shared" si="87"/>
        <v>CGGTG</v>
      </c>
      <c r="M442" t="str">
        <f t="shared" si="88"/>
        <v>GTCCC</v>
      </c>
      <c r="N442">
        <f t="shared" si="89"/>
        <v>154</v>
      </c>
      <c r="O442">
        <f t="shared" si="90"/>
        <v>2</v>
      </c>
      <c r="P442" t="str">
        <f t="shared" si="93"/>
        <v>AGAGACAGGAGCCTTCGGTGCAGTCCCTGCAGTGCAGGAAAG</v>
      </c>
    </row>
    <row r="443" spans="1:16" x14ac:dyDescent="0.25">
      <c r="A443">
        <v>2087921</v>
      </c>
      <c r="B443" t="s">
        <v>47</v>
      </c>
      <c r="C443" t="s">
        <v>452</v>
      </c>
      <c r="E443">
        <f t="shared" si="85"/>
        <v>13</v>
      </c>
      <c r="F443" t="str">
        <f t="shared" si="95"/>
        <v>2087921_chr16:2087941-2087942:G&gt;T</v>
      </c>
      <c r="G443" t="s">
        <v>985</v>
      </c>
      <c r="H443" t="s">
        <v>937</v>
      </c>
      <c r="I443" t="s">
        <v>978</v>
      </c>
      <c r="J443" t="s">
        <v>979</v>
      </c>
      <c r="K443" t="str">
        <f t="shared" si="86"/>
        <v>AGAGACAGGAGCCTTCGGTGATGTCCCTGCAGTGCAGGAAAGTTAGGGCCGGGTGGGGCCCTGCAGTGCAGGAAAGGTAGGGCCGGGTGGGGCCCTGCAGTGTGGCGCCAAGAGCCCTGGGCCTGGCGTGACCAAGGTAGGAGGATAGGCCAGG</v>
      </c>
      <c r="L443" t="str">
        <f t="shared" si="87"/>
        <v>CGGTG</v>
      </c>
      <c r="M443" t="str">
        <f t="shared" si="88"/>
        <v>GTCCC</v>
      </c>
      <c r="N443">
        <f t="shared" si="89"/>
        <v>154</v>
      </c>
      <c r="O443">
        <f t="shared" si="90"/>
        <v>2</v>
      </c>
      <c r="P443" t="str">
        <f t="shared" si="93"/>
        <v>AGAGACAGGAGCCTTCGGTGATGTCCCTGCAGTGCAGGAAAG</v>
      </c>
    </row>
    <row r="444" spans="1:16" x14ac:dyDescent="0.25">
      <c r="A444">
        <v>2087921</v>
      </c>
      <c r="B444" t="s">
        <v>47</v>
      </c>
      <c r="C444" t="s">
        <v>453</v>
      </c>
      <c r="E444">
        <f t="shared" si="85"/>
        <v>13</v>
      </c>
      <c r="F444" t="str">
        <f t="shared" si="95"/>
        <v>2087921_chr16:2087942-2087943:T&gt;C</v>
      </c>
      <c r="G444" t="s">
        <v>1043</v>
      </c>
      <c r="H444" t="s">
        <v>938</v>
      </c>
      <c r="I444" t="s">
        <v>978</v>
      </c>
      <c r="J444" t="s">
        <v>979</v>
      </c>
      <c r="K444" t="str">
        <f t="shared" si="86"/>
        <v>AGAGACAGGAGCCTTCGGTGTGGTCCCTGCAGTGCAGGAAAGGCAGGGCCGGGTGGGGCCCTGCAGTGCAGGAAAGGTAGGGCCGGGTGGGGCCCTGCAGTGTGGCGCCAAGAGCCCTGGGCCTGGCGTGACCAAGGTAGGAGGATAGGCCAGG</v>
      </c>
      <c r="L444" t="str">
        <f t="shared" si="87"/>
        <v>CGGTG</v>
      </c>
      <c r="M444" t="str">
        <f t="shared" si="88"/>
        <v>GTCCC</v>
      </c>
      <c r="N444">
        <f t="shared" si="89"/>
        <v>154</v>
      </c>
      <c r="O444">
        <f t="shared" si="90"/>
        <v>2</v>
      </c>
      <c r="P444" t="str">
        <f t="shared" si="93"/>
        <v>AGAGACAGGAGCCTTCGGTGTGGTCCCTGCAGTGCAGGAAAG</v>
      </c>
    </row>
    <row r="445" spans="1:16" x14ac:dyDescent="0.25">
      <c r="A445">
        <v>2087921</v>
      </c>
      <c r="B445" t="s">
        <v>47</v>
      </c>
      <c r="C445" t="s">
        <v>454</v>
      </c>
      <c r="E445">
        <f t="shared" si="85"/>
        <v>13</v>
      </c>
      <c r="F445" t="str">
        <f t="shared" si="95"/>
        <v>2087921_chr16:2087942-2087943:T&gt;G</v>
      </c>
      <c r="G445" s="4" t="s">
        <v>1089</v>
      </c>
      <c r="H445" t="s">
        <v>939</v>
      </c>
      <c r="I445" t="s">
        <v>978</v>
      </c>
      <c r="J445" t="s">
        <v>979</v>
      </c>
      <c r="K445" t="str">
        <f t="shared" si="86"/>
        <v>AGAGACAGGAGCCTTCGGTGAAGTCCCTGCAGTGCAGGAAAGGGAGGGCCGGGTGGGGCCCTGCAGTGCAGGAAAGGTAGGGCCGGGTGGGGCCCTGCAGTGTGGCGCCAAGAGCCCTGGGCCTGGCGTGACCAAGGTAGGAGGATAGGCCAGG</v>
      </c>
      <c r="L445" t="str">
        <f t="shared" si="87"/>
        <v>CGGTG</v>
      </c>
      <c r="M445" t="str">
        <f t="shared" si="88"/>
        <v>GTCCC</v>
      </c>
      <c r="N445">
        <f t="shared" si="89"/>
        <v>154</v>
      </c>
      <c r="O445">
        <f t="shared" si="90"/>
        <v>2</v>
      </c>
      <c r="P445" t="str">
        <f t="shared" si="93"/>
        <v>AGAGACAGGAGCCTTCGGTGAAGTCCCTGCAGTGCAGGAAAG</v>
      </c>
    </row>
    <row r="446" spans="1:16" x14ac:dyDescent="0.25">
      <c r="A446">
        <v>2087921</v>
      </c>
      <c r="B446" t="s">
        <v>47</v>
      </c>
      <c r="C446" t="s">
        <v>455</v>
      </c>
      <c r="E446">
        <f t="shared" si="85"/>
        <v>13</v>
      </c>
      <c r="F446" t="str">
        <f t="shared" si="95"/>
        <v>2087921_chr16:2087947-2087948:C&gt;T</v>
      </c>
      <c r="G446" t="s">
        <v>987</v>
      </c>
      <c r="H446" t="s">
        <v>940</v>
      </c>
      <c r="I446" t="s">
        <v>978</v>
      </c>
      <c r="J446" t="s">
        <v>979</v>
      </c>
      <c r="K446" t="str">
        <f t="shared" si="86"/>
        <v>AGAGACAGGAGCCTTCGGTGGCGTCCCTGCAGTGCAGGAAAGGTAGGGTCGGGTGGGGCCCTGCAGTGCAGGAAAGGTAGGGCCGGGTGGGGCCCTGCAGTGTGGCGCCAAGAGCCCTGGGCCTGGCGTGACCAAGGTAGGAGGATAGGCCAGG</v>
      </c>
      <c r="L446" t="str">
        <f t="shared" si="87"/>
        <v>CGGTG</v>
      </c>
      <c r="M446" t="str">
        <f t="shared" si="88"/>
        <v>GTCCC</v>
      </c>
      <c r="N446">
        <f t="shared" si="89"/>
        <v>154</v>
      </c>
      <c r="O446">
        <f t="shared" si="90"/>
        <v>2</v>
      </c>
      <c r="P446" t="str">
        <f t="shared" si="93"/>
        <v>AGAGACAGGAGCCTTCGGTGGCGTCCCTGCAGTGCAGGAAAG</v>
      </c>
    </row>
    <row r="447" spans="1:16" x14ac:dyDescent="0.25">
      <c r="A447">
        <v>2087921</v>
      </c>
      <c r="B447" t="s">
        <v>47</v>
      </c>
      <c r="C447" t="s">
        <v>456</v>
      </c>
      <c r="E447">
        <f t="shared" si="85"/>
        <v>13</v>
      </c>
      <c r="F447" t="str">
        <f t="shared" si="95"/>
        <v>2087921_chr16:2087948-2087949:C&gt;T</v>
      </c>
      <c r="G447" t="s">
        <v>988</v>
      </c>
      <c r="H447" t="s">
        <v>941</v>
      </c>
      <c r="I447" t="s">
        <v>978</v>
      </c>
      <c r="J447" t="s">
        <v>979</v>
      </c>
      <c r="K447" t="str">
        <f t="shared" si="86"/>
        <v>AGAGACAGGAGCCTTCGGTGACGTCCCTGCAGTGCAGGAAAGGTAGGGCTGGGTGGGGCCCTGCAGTGCAGGAAAGGTAGGGCCGGGTGGGGCCCTGCAGTGTGGCGCCAAGAGCCCTGGGCCTGGCGTGACCAAGGTAGGAGGATAGGCCAGG</v>
      </c>
      <c r="L447" t="str">
        <f t="shared" si="87"/>
        <v>CGGTG</v>
      </c>
      <c r="M447" t="str">
        <f t="shared" si="88"/>
        <v>GTCCC</v>
      </c>
      <c r="N447">
        <f t="shared" si="89"/>
        <v>154</v>
      </c>
      <c r="O447">
        <f t="shared" si="90"/>
        <v>2</v>
      </c>
      <c r="P447" t="str">
        <f t="shared" si="93"/>
        <v>AGAGACAGGAGCCTTCGGTGACGTCCCTGCAGTGCAGGAAAG</v>
      </c>
    </row>
    <row r="448" spans="1:16" x14ac:dyDescent="0.25">
      <c r="A448">
        <v>2087921</v>
      </c>
      <c r="B448" t="s">
        <v>47</v>
      </c>
      <c r="C448" t="s">
        <v>457</v>
      </c>
      <c r="E448">
        <f t="shared" si="85"/>
        <v>13</v>
      </c>
      <c r="F448" t="str">
        <f t="shared" si="95"/>
        <v>2087921_chr16:2087949-2087950:G&gt;A</v>
      </c>
      <c r="G448" t="s">
        <v>989</v>
      </c>
      <c r="H448" t="s">
        <v>942</v>
      </c>
      <c r="I448" t="s">
        <v>978</v>
      </c>
      <c r="J448" t="s">
        <v>979</v>
      </c>
      <c r="K448" t="str">
        <f t="shared" si="86"/>
        <v>AGAGACAGGAGCCTTCGGTGCGGTCCCTGCAGTGCAGGAAAGGTAGGGCCAGGTGGGGCCCTGCAGTGCAGGAAAGGTAGGGCCGGGTGGGGCCCTGCAGTGTGGCGCCAAGAGCCCTGGGCCTGGCGTGACCAAGGTAGGAGGATAGGCCAGG</v>
      </c>
      <c r="L448" t="str">
        <f t="shared" si="87"/>
        <v>CGGTG</v>
      </c>
      <c r="M448" t="str">
        <f t="shared" si="88"/>
        <v>GTCCC</v>
      </c>
      <c r="N448">
        <f t="shared" si="89"/>
        <v>154</v>
      </c>
      <c r="O448">
        <f t="shared" si="90"/>
        <v>2</v>
      </c>
      <c r="P448" t="str">
        <f t="shared" si="93"/>
        <v>AGAGACAGGAGCCTTCGGTGCGGTCCCTGCAGTGCAGGAAAG</v>
      </c>
    </row>
    <row r="449" spans="1:16" x14ac:dyDescent="0.25">
      <c r="A449">
        <v>2087921</v>
      </c>
      <c r="B449" t="s">
        <v>47</v>
      </c>
      <c r="C449" t="s">
        <v>458</v>
      </c>
      <c r="E449">
        <f t="shared" si="85"/>
        <v>13</v>
      </c>
      <c r="F449" t="str">
        <f t="shared" si="95"/>
        <v>2087921_chr16:2087957-2087957:-&gt;G</v>
      </c>
      <c r="G449" t="s">
        <v>990</v>
      </c>
      <c r="H449" t="s">
        <v>943</v>
      </c>
      <c r="I449" t="s">
        <v>980</v>
      </c>
      <c r="J449" t="s">
        <v>979</v>
      </c>
      <c r="K449" t="str">
        <f t="shared" si="86"/>
        <v>AGAGACAGGAGCCTTCGGTGGTGTCCCTGCAGTGCAGGAAAGGTAGGGCCGGGTGGGGGCCCTGCAGTGCAGGAAAGGTAGGGCCGGGTGGGGCCCTGCAGTGTGGCGCCAAGAGCCCTGGGCCTGGCGTGACCAAGGTAGGAGGATAGGCCAGG</v>
      </c>
      <c r="L449" t="str">
        <f t="shared" si="87"/>
        <v>CGGTG</v>
      </c>
      <c r="M449" t="str">
        <f t="shared" si="88"/>
        <v>GTCCC</v>
      </c>
      <c r="N449">
        <f t="shared" si="89"/>
        <v>155</v>
      </c>
      <c r="O449">
        <f t="shared" si="90"/>
        <v>2</v>
      </c>
      <c r="P449" t="str">
        <f t="shared" si="93"/>
        <v>AGAGACAGGAGCCTTCGGTGGTGTCCCTGCAGTGCAGGAAAG</v>
      </c>
    </row>
    <row r="450" spans="1:16" x14ac:dyDescent="0.25">
      <c r="A450">
        <v>2087921</v>
      </c>
      <c r="B450" t="s">
        <v>47</v>
      </c>
      <c r="C450" t="s">
        <v>459</v>
      </c>
      <c r="E450">
        <f t="shared" ref="E450:E485" si="96">COUNTIF(A:A,A450)</f>
        <v>13</v>
      </c>
      <c r="F450" t="str">
        <f t="shared" si="95"/>
        <v>2087921_chr16:2087980-2087981:G&gt;A</v>
      </c>
      <c r="G450" t="s">
        <v>991</v>
      </c>
      <c r="H450" t="s">
        <v>944</v>
      </c>
      <c r="I450" t="s">
        <v>978</v>
      </c>
      <c r="J450" t="s">
        <v>979</v>
      </c>
      <c r="K450" t="str">
        <f t="shared" ref="K450:K485" si="97">(I450&amp;G450&amp;H450&amp;J450)</f>
        <v>AGAGACAGGAGCCTTCGGTGGAGTCCCTGCAGTGCAGGAAAGGTAGGGCCGGGTGGGGCCCTGCAGTGCAGGAAAGGTAGGACCGGGTGGGGCCCTGCAGTGTGGCGCCAAGAGCCCTGGGCCTGGCGTGACCAAGGTAGGAGGATAGGCCAGG</v>
      </c>
      <c r="L450" t="str">
        <f t="shared" ref="L450:L485" si="98">RIGHT(I450,5)</f>
        <v>CGGTG</v>
      </c>
      <c r="M450" t="str">
        <f t="shared" ref="M450:M485" si="99">LEFT(H450,5)</f>
        <v>GTCCC</v>
      </c>
      <c r="N450">
        <f t="shared" ref="N450:N485" si="100">LEN(K450)</f>
        <v>154</v>
      </c>
      <c r="O450">
        <f t="shared" si="90"/>
        <v>2</v>
      </c>
      <c r="P450" t="str">
        <f t="shared" si="93"/>
        <v>AGAGACAGGAGCCTTCGGTGGAGTCCCTGCAGTGCAGGAAAG</v>
      </c>
    </row>
    <row r="451" spans="1:16" x14ac:dyDescent="0.25">
      <c r="A451">
        <v>2087921</v>
      </c>
      <c r="B451" t="s">
        <v>47</v>
      </c>
      <c r="C451" t="s">
        <v>460</v>
      </c>
      <c r="E451">
        <f t="shared" si="96"/>
        <v>13</v>
      </c>
      <c r="F451" t="str">
        <f t="shared" si="95"/>
        <v>2087921_chr16:2087982-2087983:C&gt;T</v>
      </c>
      <c r="G451" t="s">
        <v>992</v>
      </c>
      <c r="H451" t="s">
        <v>945</v>
      </c>
      <c r="I451" t="s">
        <v>978</v>
      </c>
      <c r="J451" t="s">
        <v>979</v>
      </c>
      <c r="K451" t="str">
        <f t="shared" si="97"/>
        <v>AGAGACAGGAGCCTTCGGTGTCGTCCCTGCAGTGCAGGAAAGGTAGGGCCGGGTGGGGCCCTGCAGTGCAGGAAAGGTAGGGCTGGGTGGGGCCCTGCAGTGTGGCGCCAAGAGCCCTGGGCCTGGCGTGACCAAGGTAGGAGGATAGGCCAGG</v>
      </c>
      <c r="L451" t="str">
        <f t="shared" si="98"/>
        <v>CGGTG</v>
      </c>
      <c r="M451" t="str">
        <f t="shared" si="99"/>
        <v>GTCCC</v>
      </c>
      <c r="N451">
        <f t="shared" si="100"/>
        <v>154</v>
      </c>
      <c r="O451">
        <f t="shared" ref="O451:O485" si="101">LEN(G451)</f>
        <v>2</v>
      </c>
      <c r="P451" t="str">
        <f t="shared" si="93"/>
        <v>AGAGACAGGAGCCTTCGGTGTCGTCCCTGCAGTGCAGGAAAG</v>
      </c>
    </row>
    <row r="452" spans="1:16" x14ac:dyDescent="0.25">
      <c r="A452">
        <v>2087921</v>
      </c>
      <c r="B452" t="s">
        <v>47</v>
      </c>
      <c r="C452" t="s">
        <v>461</v>
      </c>
      <c r="E452">
        <f t="shared" si="96"/>
        <v>13</v>
      </c>
      <c r="F452" t="str">
        <f t="shared" si="95"/>
        <v>2087921_chr16:2087983-2087984:G&gt;A</v>
      </c>
      <c r="G452" t="s">
        <v>1018</v>
      </c>
      <c r="H452" t="s">
        <v>946</v>
      </c>
      <c r="I452" t="s">
        <v>978</v>
      </c>
      <c r="J452" t="s">
        <v>979</v>
      </c>
      <c r="K452" t="str">
        <f t="shared" si="97"/>
        <v>AGAGACAGGAGCCTTCGGTGTTGTCCCTGCAGTGCAGGAAAGGTAGGGCCGGGTGGGGCCCTGCAGTGCAGGAAAGGTAGGGCCAGGTGGGGCCCTGCAGTGTGGCGCCAAGAGCCCTGGGCCTGGCGTGACCAAGGTAGGAGGATAGGCCAGG</v>
      </c>
      <c r="L452" t="str">
        <f t="shared" si="98"/>
        <v>CGGTG</v>
      </c>
      <c r="M452" t="str">
        <f t="shared" si="99"/>
        <v>GTCCC</v>
      </c>
      <c r="N452">
        <f t="shared" si="100"/>
        <v>154</v>
      </c>
      <c r="O452">
        <f t="shared" si="101"/>
        <v>2</v>
      </c>
      <c r="P452" t="str">
        <f t="shared" si="93"/>
        <v>AGAGACAGGAGCCTTCGGTGTTGTCCCTGCAGTGCAGGAAAG</v>
      </c>
    </row>
    <row r="453" spans="1:16" x14ac:dyDescent="0.25">
      <c r="A453">
        <v>2088109</v>
      </c>
      <c r="B453" t="s">
        <v>48</v>
      </c>
      <c r="C453" t="s">
        <v>462</v>
      </c>
      <c r="D453" t="s">
        <v>534</v>
      </c>
      <c r="E453">
        <f t="shared" si="96"/>
        <v>23</v>
      </c>
      <c r="F453" t="str">
        <f>(A453&amp;"_"&amp;D453)</f>
        <v>2088109_wt</v>
      </c>
      <c r="G453" s="1" t="s">
        <v>993</v>
      </c>
      <c r="H453" t="s">
        <v>532</v>
      </c>
      <c r="I453" t="s">
        <v>978</v>
      </c>
      <c r="J453" t="s">
        <v>979</v>
      </c>
      <c r="K453" t="str">
        <f t="shared" si="97"/>
        <v>AGAGACAGGAGCCTTCGGTGCATGTGGCCCGCCAGATGGCCCTGCACGCAAATGTGAGTGGGGGTGGGTCCAGGCGTGAGCTGGTGGGACAGGCCCAGGTGCCACCTGATAGTGAGCTCACCCCCTGCCTACGTCAGGTAGGAGGATAGGCCAGG</v>
      </c>
      <c r="L453" t="str">
        <f t="shared" si="98"/>
        <v>CGGTG</v>
      </c>
      <c r="M453" t="str">
        <f t="shared" si="99"/>
        <v>GTGGC</v>
      </c>
      <c r="N453">
        <f t="shared" si="100"/>
        <v>155</v>
      </c>
      <c r="O453">
        <f t="shared" si="101"/>
        <v>3</v>
      </c>
      <c r="P453" t="str">
        <f t="shared" ref="P453:P475" si="102">LEFT(K453,43)</f>
        <v>AGAGACAGGAGCCTTCGGTGCATGTGGCCCGCCAGATGGCCCT</v>
      </c>
    </row>
    <row r="454" spans="1:16" x14ac:dyDescent="0.25">
      <c r="A454">
        <v>2088109</v>
      </c>
      <c r="B454" t="s">
        <v>48</v>
      </c>
      <c r="C454" t="s">
        <v>462</v>
      </c>
      <c r="E454">
        <f t="shared" si="96"/>
        <v>23</v>
      </c>
      <c r="F454" t="str">
        <f t="shared" ref="F454:F475" si="103">(A454&amp;"_"&amp;C454)</f>
        <v>2088109_chr16:2088139-2088140:G&gt;A</v>
      </c>
      <c r="G454" s="1" t="s">
        <v>997</v>
      </c>
      <c r="H454" t="s">
        <v>947</v>
      </c>
      <c r="I454" t="s">
        <v>978</v>
      </c>
      <c r="J454" t="s">
        <v>979</v>
      </c>
      <c r="K454" t="str">
        <f t="shared" si="97"/>
        <v>AGAGACAGGAGCCTTCGGTGTGAGTGGCCCGCCAGATGGCCCTGCACGCAAATATGAGTGGGGGTGGGTCCAGGCGTGAGCTGGTGGGACAGGCCCAGGTGCCACCTGATAGTGAGCTCACCCCCTGCCTACGTCAGGTAGGAGGATAGGCCAGG</v>
      </c>
      <c r="L454" t="str">
        <f t="shared" si="98"/>
        <v>CGGTG</v>
      </c>
      <c r="M454" t="str">
        <f t="shared" si="99"/>
        <v>GTGGC</v>
      </c>
      <c r="N454">
        <f t="shared" si="100"/>
        <v>155</v>
      </c>
      <c r="O454">
        <f t="shared" si="101"/>
        <v>3</v>
      </c>
      <c r="P454" t="str">
        <f t="shared" si="102"/>
        <v>AGAGACAGGAGCCTTCGGTGTGAGTGGCCCGCCAGATGGCCCT</v>
      </c>
    </row>
    <row r="455" spans="1:16" x14ac:dyDescent="0.25">
      <c r="A455">
        <v>2088109</v>
      </c>
      <c r="B455" t="s">
        <v>48</v>
      </c>
      <c r="C455" t="s">
        <v>463</v>
      </c>
      <c r="E455">
        <f t="shared" si="96"/>
        <v>23</v>
      </c>
      <c r="F455" t="str">
        <f t="shared" si="103"/>
        <v>2088109_chr16:2088139-2088140:G&gt;C</v>
      </c>
      <c r="G455" s="1" t="s">
        <v>994</v>
      </c>
      <c r="H455" t="s">
        <v>948</v>
      </c>
      <c r="I455" t="s">
        <v>978</v>
      </c>
      <c r="J455" t="s">
        <v>979</v>
      </c>
      <c r="K455" t="str">
        <f t="shared" si="97"/>
        <v>AGAGACAGGAGCCTTCGGTGGAGGTGGCCCGCCAGATGGCCCTGCACGCAAATCTGAGTGGGGGTGGGTCCAGGCGTGAGCTGGTGGGACAGGCCCAGGTGCCACCTGATAGTGAGCTCACCCCCTGCCTACGTCAGGTAGGAGGATAGGCCAGG</v>
      </c>
      <c r="L455" t="str">
        <f t="shared" si="98"/>
        <v>CGGTG</v>
      </c>
      <c r="M455" t="str">
        <f t="shared" si="99"/>
        <v>GTGGC</v>
      </c>
      <c r="N455">
        <f t="shared" si="100"/>
        <v>155</v>
      </c>
      <c r="O455">
        <f t="shared" si="101"/>
        <v>3</v>
      </c>
      <c r="P455" t="str">
        <f t="shared" si="102"/>
        <v>AGAGACAGGAGCCTTCGGTGGAGGTGGCCCGCCAGATGGCCCT</v>
      </c>
    </row>
    <row r="456" spans="1:16" x14ac:dyDescent="0.25">
      <c r="A456">
        <v>2088109</v>
      </c>
      <c r="B456" t="s">
        <v>48</v>
      </c>
      <c r="C456" t="s">
        <v>464</v>
      </c>
      <c r="E456">
        <f t="shared" si="96"/>
        <v>23</v>
      </c>
      <c r="F456" t="str">
        <f t="shared" si="103"/>
        <v>2088109_chr16:2088139-2088140:G&gt;T</v>
      </c>
      <c r="G456" s="1" t="s">
        <v>1001</v>
      </c>
      <c r="H456" t="s">
        <v>949</v>
      </c>
      <c r="I456" t="s">
        <v>978</v>
      </c>
      <c r="J456" t="s">
        <v>979</v>
      </c>
      <c r="K456" t="str">
        <f t="shared" si="97"/>
        <v>AGAGACAGGAGCCTTCGGTGCGTGTGGCCCGCCAGATGGCCCTGCACGCAAATTTGAGTGGGGGTGGGTCCAGGCGTGAGCTGGTGGGACAGGCCCAGGTGCCACCTGATAGTGAGCTCACCCCCTGCCTACGTCAGGTAGGAGGATAGGCCAGG</v>
      </c>
      <c r="L456" t="str">
        <f t="shared" si="98"/>
        <v>CGGTG</v>
      </c>
      <c r="M456" t="str">
        <f t="shared" si="99"/>
        <v>GTGGC</v>
      </c>
      <c r="N456">
        <f t="shared" si="100"/>
        <v>155</v>
      </c>
      <c r="O456">
        <f t="shared" si="101"/>
        <v>3</v>
      </c>
      <c r="P456" t="str">
        <f t="shared" si="102"/>
        <v>AGAGACAGGAGCCTTCGGTGCGTGTGGCCCGCCAGATGGCCCT</v>
      </c>
    </row>
    <row r="457" spans="1:16" x14ac:dyDescent="0.25">
      <c r="A457">
        <v>2088109</v>
      </c>
      <c r="B457" t="s">
        <v>48</v>
      </c>
      <c r="C457" t="s">
        <v>465</v>
      </c>
      <c r="E457">
        <f t="shared" si="96"/>
        <v>23</v>
      </c>
      <c r="F457" t="str">
        <f t="shared" si="103"/>
        <v>2088109_chr16:2088140-2088140:-&gt;G</v>
      </c>
      <c r="G457" s="1" t="s">
        <v>1004</v>
      </c>
      <c r="H457" t="s">
        <v>950</v>
      </c>
      <c r="I457" t="s">
        <v>978</v>
      </c>
      <c r="J457" t="s">
        <v>979</v>
      </c>
      <c r="K457" t="str">
        <f t="shared" si="97"/>
        <v>AGAGACAGGAGCCTTCGGTGTCGGTGGCCCGCCAGATGGCCCTGCACGCAAATGGTGAGTGGGGGTGGGTCCAGGCGTGAGCTGGTGGGACAGGCCCAGGTGCCACCTGATAGTGAGCTCACCCCCTGCCTACGTCAGGTAGGAGGATAGGCCAGG</v>
      </c>
      <c r="L457" t="str">
        <f t="shared" si="98"/>
        <v>CGGTG</v>
      </c>
      <c r="M457" t="str">
        <f t="shared" si="99"/>
        <v>GTGGC</v>
      </c>
      <c r="N457">
        <f t="shared" si="100"/>
        <v>156</v>
      </c>
      <c r="O457">
        <f t="shared" si="101"/>
        <v>3</v>
      </c>
      <c r="P457" t="str">
        <f t="shared" si="102"/>
        <v>AGAGACAGGAGCCTTCGGTGTCGGTGGCCCGCCAGATGGCCCT</v>
      </c>
    </row>
    <row r="458" spans="1:16" x14ac:dyDescent="0.25">
      <c r="A458">
        <v>2088109</v>
      </c>
      <c r="B458" t="s">
        <v>48</v>
      </c>
      <c r="C458" t="s">
        <v>466</v>
      </c>
      <c r="E458">
        <f t="shared" si="96"/>
        <v>23</v>
      </c>
      <c r="F458" t="str">
        <f t="shared" si="103"/>
        <v>2088109_chr16:2088140-2088141:T&gt;A</v>
      </c>
      <c r="G458" s="1" t="s">
        <v>995</v>
      </c>
      <c r="H458" t="s">
        <v>951</v>
      </c>
      <c r="I458" t="s">
        <v>978</v>
      </c>
      <c r="J458" t="s">
        <v>979</v>
      </c>
      <c r="K458" t="str">
        <f t="shared" si="97"/>
        <v>AGAGACAGGAGCCTTCGGTGTATGTGGCCCGCCAGATGGCCCTGCACGCAAATGAGAGTGGGGGTGGGTCCAGGCGTGAGCTGGTGGGACAGGCCCAGGTGCCACCTGATAGTGAGCTCACCCCCTGCCTACGTCAGGTAGGAGGATAGGCCAGG</v>
      </c>
      <c r="L458" t="str">
        <f t="shared" si="98"/>
        <v>CGGTG</v>
      </c>
      <c r="M458" t="str">
        <f t="shared" si="99"/>
        <v>GTGGC</v>
      </c>
      <c r="N458">
        <f t="shared" si="100"/>
        <v>155</v>
      </c>
      <c r="O458">
        <f t="shared" si="101"/>
        <v>3</v>
      </c>
      <c r="P458" t="str">
        <f t="shared" si="102"/>
        <v>AGAGACAGGAGCCTTCGGTGTATGTGGCCCGCCAGATGGCCCT</v>
      </c>
    </row>
    <row r="459" spans="1:16" x14ac:dyDescent="0.25">
      <c r="A459">
        <v>2088109</v>
      </c>
      <c r="B459" t="s">
        <v>48</v>
      </c>
      <c r="C459" t="s">
        <v>467</v>
      </c>
      <c r="E459">
        <f t="shared" si="96"/>
        <v>23</v>
      </c>
      <c r="F459" t="str">
        <f t="shared" si="103"/>
        <v>2088109_chr16:2088140-2088141:T&gt;C</v>
      </c>
      <c r="G459" s="1" t="s">
        <v>996</v>
      </c>
      <c r="H459" t="s">
        <v>952</v>
      </c>
      <c r="I459" t="s">
        <v>980</v>
      </c>
      <c r="J459" t="s">
        <v>979</v>
      </c>
      <c r="K459" t="str">
        <f t="shared" si="97"/>
        <v>AGAGACAGGAGCCTTCGGTGAGTGTGGCCCGCCAGATGGCCCTGCACGCAAATGCGAGTGGGGGTGGGTCCAGGCGTGAGCTGGTGGGACAGGCCCAGGTGCCACCTGATAGTGAGCTCACCCCCTGCCTACGTCAGGTAGGAGGATAGGCCAGG</v>
      </c>
      <c r="L459" t="str">
        <f t="shared" si="98"/>
        <v>CGGTG</v>
      </c>
      <c r="M459" t="str">
        <f t="shared" si="99"/>
        <v>GTGGC</v>
      </c>
      <c r="N459">
        <f t="shared" si="100"/>
        <v>155</v>
      </c>
      <c r="O459">
        <f t="shared" si="101"/>
        <v>3</v>
      </c>
      <c r="P459" t="str">
        <f t="shared" si="102"/>
        <v>AGAGACAGGAGCCTTCGGTGAGTGTGGCCCGCCAGATGGCCCT</v>
      </c>
    </row>
    <row r="460" spans="1:16" x14ac:dyDescent="0.25">
      <c r="A460">
        <v>2088109</v>
      </c>
      <c r="B460" t="s">
        <v>48</v>
      </c>
      <c r="C460" t="s">
        <v>468</v>
      </c>
      <c r="E460">
        <f t="shared" si="96"/>
        <v>23</v>
      </c>
      <c r="F460" t="str">
        <f t="shared" si="103"/>
        <v>2088109_chr16:2088140-2088141:T&gt;G</v>
      </c>
      <c r="G460" s="5" t="s">
        <v>1060</v>
      </c>
      <c r="H460" t="s">
        <v>953</v>
      </c>
      <c r="I460" t="s">
        <v>978</v>
      </c>
      <c r="J460" t="s">
        <v>979</v>
      </c>
      <c r="K460" t="str">
        <f t="shared" si="97"/>
        <v>AGAGACAGGAGCCTTCGGTGCAGGTGGCCCGCCAGATGGCCCTGCACGCAAATGGGAGTGGGGGTGGGTCCAGGCGTGAGCTGGTGGGACAGGCCCAGGTGCCACCTGATAGTGAGCTCACCCCCTGCCTACGTCAGGTAGGAGGATAGGCCAGG</v>
      </c>
      <c r="L460" t="str">
        <f t="shared" si="98"/>
        <v>CGGTG</v>
      </c>
      <c r="M460" t="str">
        <f t="shared" si="99"/>
        <v>GTGGC</v>
      </c>
      <c r="N460">
        <f t="shared" si="100"/>
        <v>155</v>
      </c>
      <c r="O460">
        <f t="shared" si="101"/>
        <v>3</v>
      </c>
      <c r="P460" t="str">
        <f t="shared" si="102"/>
        <v>AGAGACAGGAGCCTTCGGTGCAGGTGGCCCGCCAGATGGCCCT</v>
      </c>
    </row>
    <row r="461" spans="1:16" x14ac:dyDescent="0.25">
      <c r="A461">
        <v>2088109</v>
      </c>
      <c r="B461" t="s">
        <v>48</v>
      </c>
      <c r="C461" t="s">
        <v>469</v>
      </c>
      <c r="E461">
        <f t="shared" si="96"/>
        <v>23</v>
      </c>
      <c r="F461" t="str">
        <f t="shared" si="103"/>
        <v>2088109_chr16:2088140-2088142:TG&gt;-</v>
      </c>
      <c r="G461" s="5" t="s">
        <v>1095</v>
      </c>
      <c r="H461" t="s">
        <v>954</v>
      </c>
      <c r="I461" t="s">
        <v>978</v>
      </c>
      <c r="J461" t="s">
        <v>979</v>
      </c>
      <c r="K461" t="str">
        <f t="shared" si="97"/>
        <v>AGAGACAGGAGCCTTCGGTGGCTGTGGCCCGCCAGATGGCCCTGCACGCAAATGAGTGGGGGTGGGTCCAGGCGTGAGCTGGTGGGACAGGCCCAGGTGCCACCTGATAGTGAGCTCACCCCCTGCCTACGTCAGGTAGGAGGATAGGCCAGG</v>
      </c>
      <c r="L461" t="str">
        <f t="shared" si="98"/>
        <v>CGGTG</v>
      </c>
      <c r="M461" t="str">
        <f t="shared" si="99"/>
        <v>GTGGC</v>
      </c>
      <c r="N461">
        <f t="shared" si="100"/>
        <v>153</v>
      </c>
      <c r="O461">
        <f t="shared" si="101"/>
        <v>3</v>
      </c>
      <c r="P461" t="str">
        <f t="shared" si="102"/>
        <v>AGAGACAGGAGCCTTCGGTGGCTGTGGCCCGCCAGATGGCCCT</v>
      </c>
    </row>
    <row r="462" spans="1:16" x14ac:dyDescent="0.25">
      <c r="A462">
        <v>2088109</v>
      </c>
      <c r="B462" t="s">
        <v>48</v>
      </c>
      <c r="C462" t="s">
        <v>470</v>
      </c>
      <c r="E462">
        <f t="shared" si="96"/>
        <v>23</v>
      </c>
      <c r="F462" t="str">
        <f t="shared" si="103"/>
        <v>2088109_chr16:2088141-2088141:-&gt;T</v>
      </c>
      <c r="G462" s="1" t="s">
        <v>1000</v>
      </c>
      <c r="H462" t="s">
        <v>955</v>
      </c>
      <c r="I462" t="s">
        <v>978</v>
      </c>
      <c r="J462" t="s">
        <v>979</v>
      </c>
      <c r="K462" t="str">
        <f t="shared" si="97"/>
        <v>AGAGACAGGAGCCTTCGGTGAGCGTGGCCCGCCAGATGGCCCTGCACGCAAATGTTGAGTGGGGGTGGGTCCAGGCGTGAGCTGGTGGGACAGGCCCAGGTGCCACCTGATAGTGAGCTCACCCCCTGCCTACGTCAGGTAGGAGGATAGGCCAGG</v>
      </c>
      <c r="L462" t="str">
        <f t="shared" si="98"/>
        <v>CGGTG</v>
      </c>
      <c r="M462" t="str">
        <f t="shared" si="99"/>
        <v>GTGGC</v>
      </c>
      <c r="N462">
        <f t="shared" si="100"/>
        <v>156</v>
      </c>
      <c r="O462">
        <f t="shared" si="101"/>
        <v>3</v>
      </c>
      <c r="P462" t="str">
        <f t="shared" si="102"/>
        <v>AGAGACAGGAGCCTTCGGTGAGCGTGGCCCGCCAGATGGCCCT</v>
      </c>
    </row>
    <row r="463" spans="1:16" x14ac:dyDescent="0.25">
      <c r="A463">
        <v>2088109</v>
      </c>
      <c r="B463" t="s">
        <v>48</v>
      </c>
      <c r="C463" t="s">
        <v>471</v>
      </c>
      <c r="E463">
        <f t="shared" si="96"/>
        <v>23</v>
      </c>
      <c r="F463" t="str">
        <f t="shared" si="103"/>
        <v>2088109_chr16:2088141-2088142:G&gt;C</v>
      </c>
      <c r="G463" s="5" t="s">
        <v>1066</v>
      </c>
      <c r="H463" t="s">
        <v>956</v>
      </c>
      <c r="I463" t="s">
        <v>978</v>
      </c>
      <c r="J463" t="s">
        <v>979</v>
      </c>
      <c r="K463" t="str">
        <f t="shared" si="97"/>
        <v>AGAGACAGGAGCCTTCGGTGAGAGTGGCCCGCCAGATGGCCCTGCACGCAAATGTCAGTGGGGGTGGGTCCAGGCGTGAGCTGGTGGGACAGGCCCAGGTGCCACCTGATAGTGAGCTCACCCCCTGCCTACGTCAGGTAGGAGGATAGGCCAGG</v>
      </c>
      <c r="L463" t="str">
        <f t="shared" si="98"/>
        <v>CGGTG</v>
      </c>
      <c r="M463" t="str">
        <f t="shared" si="99"/>
        <v>GTGGC</v>
      </c>
      <c r="N463">
        <f t="shared" si="100"/>
        <v>155</v>
      </c>
      <c r="O463">
        <f t="shared" si="101"/>
        <v>3</v>
      </c>
      <c r="P463" t="str">
        <f t="shared" si="102"/>
        <v>AGAGACAGGAGCCTTCGGTGAGAGTGGCCCGCCAGATGGCCCT</v>
      </c>
    </row>
    <row r="464" spans="1:16" x14ac:dyDescent="0.25">
      <c r="A464">
        <v>2088109</v>
      </c>
      <c r="B464" t="s">
        <v>48</v>
      </c>
      <c r="C464" t="s">
        <v>472</v>
      </c>
      <c r="E464">
        <f t="shared" si="96"/>
        <v>23</v>
      </c>
      <c r="F464" t="str">
        <f t="shared" si="103"/>
        <v>2088109_chr16:2088142-2088143:A&gt;C</v>
      </c>
      <c r="G464" s="1" t="s">
        <v>1005</v>
      </c>
      <c r="H464" t="s">
        <v>957</v>
      </c>
      <c r="I464" t="s">
        <v>978</v>
      </c>
      <c r="J464" t="s">
        <v>981</v>
      </c>
      <c r="K464" t="str">
        <f t="shared" si="97"/>
        <v>AGAGACAGGAGCCTTCGGTGACTGTGGCCCGCCAGATGGCCCTGCACGCAAATGTGCGTGGGGGTGGGTCCAGGCGTGAGCTGGTGGGACAGGCCCAGGTGCCACCTGATAGTGAGCTCACCCCCTGCCTACGTCAGGTAGGAGGATAGGCCAGG</v>
      </c>
      <c r="L464" t="str">
        <f t="shared" si="98"/>
        <v>CGGTG</v>
      </c>
      <c r="M464" t="str">
        <f t="shared" si="99"/>
        <v>GTGGC</v>
      </c>
      <c r="N464">
        <f t="shared" si="100"/>
        <v>155</v>
      </c>
      <c r="O464">
        <f t="shared" si="101"/>
        <v>3</v>
      </c>
      <c r="P464" t="str">
        <f t="shared" si="102"/>
        <v>AGAGACAGGAGCCTTCGGTGACTGTGGCCCGCCAGATGGCCCT</v>
      </c>
    </row>
    <row r="465" spans="1:16" x14ac:dyDescent="0.25">
      <c r="A465">
        <v>2088109</v>
      </c>
      <c r="B465" t="s">
        <v>48</v>
      </c>
      <c r="C465" t="s">
        <v>473</v>
      </c>
      <c r="E465">
        <f t="shared" si="96"/>
        <v>23</v>
      </c>
      <c r="F465" t="str">
        <f t="shared" si="103"/>
        <v>2088109_chr16:2088142-2088143:A&gt;G</v>
      </c>
      <c r="G465" s="1" t="s">
        <v>1003</v>
      </c>
      <c r="H465" t="s">
        <v>958</v>
      </c>
      <c r="I465" t="s">
        <v>978</v>
      </c>
      <c r="J465" t="s">
        <v>979</v>
      </c>
      <c r="K465" t="str">
        <f t="shared" si="97"/>
        <v>AGAGACAGGAGCCTTCGGTGGCAGTGGCCCGCCAGATGGCCCTGCACGCAAATGTGGGTGGGGGTGGGTCCAGGCGTGAGCTGGTGGGACAGGCCCAGGTGCCACCTGATAGTGAGCTCACCCCCTGCCTACGTCAGGTAGGAGGATAGGCCAGG</v>
      </c>
      <c r="L465" t="str">
        <f t="shared" si="98"/>
        <v>CGGTG</v>
      </c>
      <c r="M465" t="str">
        <f t="shared" si="99"/>
        <v>GTGGC</v>
      </c>
      <c r="N465">
        <f t="shared" si="100"/>
        <v>155</v>
      </c>
      <c r="O465">
        <f t="shared" si="101"/>
        <v>3</v>
      </c>
      <c r="P465" t="str">
        <f t="shared" si="102"/>
        <v>AGAGACAGGAGCCTTCGGTGGCAGTGGCCCGCCAGATGGCCCT</v>
      </c>
    </row>
    <row r="466" spans="1:16" x14ac:dyDescent="0.25">
      <c r="A466">
        <v>2088109</v>
      </c>
      <c r="B466" t="s">
        <v>48</v>
      </c>
      <c r="C466" t="s">
        <v>474</v>
      </c>
      <c r="E466">
        <f t="shared" si="96"/>
        <v>23</v>
      </c>
      <c r="F466" t="str">
        <f t="shared" si="103"/>
        <v>2088109_chr16:2088142-2088143:A&gt;T</v>
      </c>
      <c r="G466" s="1" t="s">
        <v>1006</v>
      </c>
      <c r="H466" t="s">
        <v>959</v>
      </c>
      <c r="I466" t="s">
        <v>978</v>
      </c>
      <c r="J466" t="s">
        <v>979</v>
      </c>
      <c r="K466" t="str">
        <f t="shared" si="97"/>
        <v>AGAGACAGGAGCCTTCGGTGCGAGTGGCCCGCCAGATGGCCCTGCACGCAAATGTGTGTGGGGGTGGGTCCAGGCGTGAGCTGGTGGGACAGGCCCAGGTGCCACCTGATAGTGAGCTCACCCCCTGCCTACGTCAGGTAGGAGGATAGGCCAGG</v>
      </c>
      <c r="L466" t="str">
        <f t="shared" si="98"/>
        <v>CGGTG</v>
      </c>
      <c r="M466" t="str">
        <f t="shared" si="99"/>
        <v>GTGGC</v>
      </c>
      <c r="N466">
        <f t="shared" si="100"/>
        <v>155</v>
      </c>
      <c r="O466">
        <f t="shared" si="101"/>
        <v>3</v>
      </c>
      <c r="P466" t="str">
        <f t="shared" si="102"/>
        <v>AGAGACAGGAGCCTTCGGTGCGAGTGGCCCGCCAGATGGCCCT</v>
      </c>
    </row>
    <row r="467" spans="1:16" x14ac:dyDescent="0.25">
      <c r="A467">
        <v>2088109</v>
      </c>
      <c r="B467" t="s">
        <v>48</v>
      </c>
      <c r="C467" t="s">
        <v>475</v>
      </c>
      <c r="E467">
        <f t="shared" si="96"/>
        <v>23</v>
      </c>
      <c r="F467" t="str">
        <f t="shared" si="103"/>
        <v>2088109_chr16:2088143-2088144:G&gt;A</v>
      </c>
      <c r="G467" s="5" t="s">
        <v>1067</v>
      </c>
      <c r="H467" t="s">
        <v>960</v>
      </c>
      <c r="I467" t="s">
        <v>978</v>
      </c>
      <c r="J467" t="s">
        <v>979</v>
      </c>
      <c r="K467" t="str">
        <f t="shared" si="97"/>
        <v>AGAGACAGGAGCCTTCGGTGATGGTGGCCCGCCAGATGGCCCTGCACGCAAATGTGAATGGGGGTGGGTCCAGGCGTGAGCTGGTGGGACAGGCCCAGGTGCCACCTGATAGTGAGCTCACCCCCTGCCTACGTCAGGTAGGAGGATAGGCCAGG</v>
      </c>
      <c r="L467" t="str">
        <f t="shared" si="98"/>
        <v>CGGTG</v>
      </c>
      <c r="M467" t="str">
        <f t="shared" si="99"/>
        <v>GTGGC</v>
      </c>
      <c r="N467">
        <f t="shared" si="100"/>
        <v>155</v>
      </c>
      <c r="O467">
        <f t="shared" si="101"/>
        <v>3</v>
      </c>
      <c r="P467" t="str">
        <f t="shared" si="102"/>
        <v>AGAGACAGGAGCCTTCGGTGATGGTGGCCCGCCAGATGGCCCT</v>
      </c>
    </row>
    <row r="468" spans="1:16" x14ac:dyDescent="0.25">
      <c r="A468">
        <v>2088109</v>
      </c>
      <c r="B468" t="s">
        <v>48</v>
      </c>
      <c r="C468" t="s">
        <v>476</v>
      </c>
      <c r="E468">
        <f t="shared" si="96"/>
        <v>23</v>
      </c>
      <c r="F468" t="str">
        <f t="shared" si="103"/>
        <v>2088109_chr16:2088143-2088144:G&gt;C</v>
      </c>
      <c r="G468" s="1" t="s">
        <v>1008</v>
      </c>
      <c r="H468" t="s">
        <v>961</v>
      </c>
      <c r="I468" t="s">
        <v>978</v>
      </c>
      <c r="J468" t="s">
        <v>979</v>
      </c>
      <c r="K468" t="str">
        <f t="shared" si="97"/>
        <v>AGAGACAGGAGCCTTCGGTGGATGTGGCCCGCCAGATGGCCCTGCACGCAAATGTGACTGGGGGTGGGTCCAGGCGTGAGCTGGTGGGACAGGCCCAGGTGCCACCTGATAGTGAGCTCACCCCCTGCCTACGTCAGGTAGGAGGATAGGCCAGG</v>
      </c>
      <c r="L468" t="str">
        <f t="shared" si="98"/>
        <v>CGGTG</v>
      </c>
      <c r="M468" t="str">
        <f t="shared" si="99"/>
        <v>GTGGC</v>
      </c>
      <c r="N468">
        <f t="shared" si="100"/>
        <v>155</v>
      </c>
      <c r="O468">
        <f t="shared" si="101"/>
        <v>3</v>
      </c>
      <c r="P468" t="str">
        <f t="shared" si="102"/>
        <v>AGAGACAGGAGCCTTCGGTGGATGTGGCCCGCCAGATGGCCCT</v>
      </c>
    </row>
    <row r="469" spans="1:16" x14ac:dyDescent="0.25">
      <c r="A469">
        <v>2088109</v>
      </c>
      <c r="B469" t="s">
        <v>48</v>
      </c>
      <c r="C469" t="s">
        <v>477</v>
      </c>
      <c r="E469">
        <f t="shared" si="96"/>
        <v>23</v>
      </c>
      <c r="F469" t="str">
        <f t="shared" si="103"/>
        <v>2088109_chr16:2088143-2088144:G&gt;T</v>
      </c>
      <c r="G469" s="1" t="s">
        <v>1002</v>
      </c>
      <c r="H469" t="s">
        <v>962</v>
      </c>
      <c r="I469" t="s">
        <v>978</v>
      </c>
      <c r="J469" t="s">
        <v>979</v>
      </c>
      <c r="K469" t="str">
        <f t="shared" si="97"/>
        <v>AGAGACAGGAGCCTTCGGTGTGCGTGGCCCGCCAGATGGCCCTGCACGCAAATGTGATTGGGGGTGGGTCCAGGCGTGAGCTGGTGGGACAGGCCCAGGTGCCACCTGATAGTGAGCTCACCCCCTGCCTACGTCAGGTAGGAGGATAGGCCAGG</v>
      </c>
      <c r="L469" t="str">
        <f t="shared" si="98"/>
        <v>CGGTG</v>
      </c>
      <c r="M469" t="str">
        <f t="shared" si="99"/>
        <v>GTGGC</v>
      </c>
      <c r="N469">
        <f t="shared" si="100"/>
        <v>155</v>
      </c>
      <c r="O469">
        <f t="shared" si="101"/>
        <v>3</v>
      </c>
      <c r="P469" t="str">
        <f t="shared" si="102"/>
        <v>AGAGACAGGAGCCTTCGGTGTGCGTGGCCCGCCAGATGGCCCT</v>
      </c>
    </row>
    <row r="470" spans="1:16" x14ac:dyDescent="0.25">
      <c r="A470">
        <v>2088109</v>
      </c>
      <c r="B470" t="s">
        <v>48</v>
      </c>
      <c r="C470" t="s">
        <v>478</v>
      </c>
      <c r="E470">
        <f t="shared" si="96"/>
        <v>23</v>
      </c>
      <c r="F470" t="str">
        <f t="shared" si="103"/>
        <v>2088109_chr16:2088145-2088145:-&gt;T</v>
      </c>
      <c r="G470" s="5" t="s">
        <v>1096</v>
      </c>
      <c r="H470" t="s">
        <v>963</v>
      </c>
      <c r="I470" t="s">
        <v>978</v>
      </c>
      <c r="J470" t="s">
        <v>979</v>
      </c>
      <c r="K470" t="str">
        <f t="shared" si="97"/>
        <v>AGAGACAGGAGCCTTCGGTGCACGTGGCCCGCCAGATGGCCCTGCACGCAAATGTGAGTTGGGGGTGGGTCCAGGCGTGAGCTGGTGGGACAGGCCCAGGTGCCACCTGATAGTGAGCTCACCCCCTGCCTACGTCAGGTAGGAGGATAGGCCAGG</v>
      </c>
      <c r="L470" t="str">
        <f t="shared" si="98"/>
        <v>CGGTG</v>
      </c>
      <c r="M470" t="str">
        <f t="shared" si="99"/>
        <v>GTGGC</v>
      </c>
      <c r="N470">
        <f t="shared" si="100"/>
        <v>156</v>
      </c>
      <c r="O470">
        <f t="shared" si="101"/>
        <v>3</v>
      </c>
      <c r="P470" t="str">
        <f t="shared" si="102"/>
        <v>AGAGACAGGAGCCTTCGGTGCACGTGGCCCGCCAGATGGCCCT</v>
      </c>
    </row>
    <row r="471" spans="1:16" x14ac:dyDescent="0.25">
      <c r="A471">
        <v>2088109</v>
      </c>
      <c r="B471" t="s">
        <v>48</v>
      </c>
      <c r="C471" t="s">
        <v>479</v>
      </c>
      <c r="E471">
        <f t="shared" si="96"/>
        <v>23</v>
      </c>
      <c r="F471" t="str">
        <f t="shared" si="103"/>
        <v>2088109_chr16:2088145-2088146:G&gt;C</v>
      </c>
      <c r="G471" s="1" t="s">
        <v>1023</v>
      </c>
      <c r="H471" t="s">
        <v>964</v>
      </c>
      <c r="I471" t="s">
        <v>978</v>
      </c>
      <c r="J471" t="s">
        <v>981</v>
      </c>
      <c r="K471" t="str">
        <f t="shared" si="97"/>
        <v>AGAGACAGGAGCCTTCGGTGTGTGTGGCCCGCCAGATGGCCCTGCACGCAAATGTGAGTCGGGGTGGGTCCAGGCGTGAGCTGGTGGGACAGGCCCAGGTGCCACCTGATAGTGAGCTCACCCCCTGCCTACGTCAGGTAGGAGGATAGGCCAGG</v>
      </c>
      <c r="L471" t="str">
        <f t="shared" si="98"/>
        <v>CGGTG</v>
      </c>
      <c r="M471" t="str">
        <f t="shared" si="99"/>
        <v>GTGGC</v>
      </c>
      <c r="N471">
        <f t="shared" si="100"/>
        <v>155</v>
      </c>
      <c r="O471">
        <f t="shared" si="101"/>
        <v>3</v>
      </c>
      <c r="P471" t="str">
        <f t="shared" si="102"/>
        <v>AGAGACAGGAGCCTTCGGTGTGTGTGGCCCGCCAGATGGCCCT</v>
      </c>
    </row>
    <row r="472" spans="1:16" x14ac:dyDescent="0.25">
      <c r="A472">
        <v>2088109</v>
      </c>
      <c r="B472" t="s">
        <v>48</v>
      </c>
      <c r="C472" t="s">
        <v>480</v>
      </c>
      <c r="E472">
        <f t="shared" si="96"/>
        <v>23</v>
      </c>
      <c r="F472" t="str">
        <f t="shared" si="103"/>
        <v>2088109_chr16:2088150-2088150:-&gt;G</v>
      </c>
      <c r="G472" s="1" t="s">
        <v>1024</v>
      </c>
      <c r="H472" t="s">
        <v>965</v>
      </c>
      <c r="I472" t="s">
        <v>978</v>
      </c>
      <c r="J472" t="s">
        <v>979</v>
      </c>
      <c r="K472" t="str">
        <f t="shared" si="97"/>
        <v>AGAGACAGGAGCCTTCGGTGACGGTGGCCCGCCAGATGGCCCTGCACGCAAATGTGAGTGGGGGGTGGGTCCAGGCGTGAGCTGGTGGGACAGGCCCAGGTGCCACCTGATAGTGAGCTCACCCCCTGCCTACGTCAGGTAGGAGGATAGGCCAGG</v>
      </c>
      <c r="L472" t="str">
        <f t="shared" si="98"/>
        <v>CGGTG</v>
      </c>
      <c r="M472" t="str">
        <f t="shared" si="99"/>
        <v>GTGGC</v>
      </c>
      <c r="N472">
        <f t="shared" si="100"/>
        <v>156</v>
      </c>
      <c r="O472">
        <f t="shared" si="101"/>
        <v>3</v>
      </c>
      <c r="P472" t="str">
        <f t="shared" si="102"/>
        <v>AGAGACAGGAGCCTTCGGTGACGGTGGCCCGCCAGATGGCCCT</v>
      </c>
    </row>
    <row r="473" spans="1:16" x14ac:dyDescent="0.25">
      <c r="A473">
        <v>2088109</v>
      </c>
      <c r="B473" t="s">
        <v>48</v>
      </c>
      <c r="C473" t="s">
        <v>481</v>
      </c>
      <c r="E473">
        <f t="shared" si="96"/>
        <v>23</v>
      </c>
      <c r="F473" t="str">
        <f t="shared" si="103"/>
        <v>2088109_chr16:2088161-2088162:G&gt;A</v>
      </c>
      <c r="G473" s="1" t="s">
        <v>1025</v>
      </c>
      <c r="H473" t="s">
        <v>966</v>
      </c>
      <c r="I473" t="s">
        <v>978</v>
      </c>
      <c r="J473" t="s">
        <v>979</v>
      </c>
      <c r="K473" t="str">
        <f t="shared" si="97"/>
        <v>AGAGACAGGAGCCTTCGGTGTCAGTGGCCCGCCAGATGGCCCTGCACGCAAATGTGAGTGGGGGTGGGTCCAGGCATGAGCTGGTGGGACAGGCCCAGGTGCCACCTGATAGTGAGCTCACCCCCTGCCTACGTCAGGTAGGAGGATAGGCCAGG</v>
      </c>
      <c r="L473" t="str">
        <f t="shared" si="98"/>
        <v>CGGTG</v>
      </c>
      <c r="M473" t="str">
        <f t="shared" si="99"/>
        <v>GTGGC</v>
      </c>
      <c r="N473">
        <f t="shared" si="100"/>
        <v>155</v>
      </c>
      <c r="O473">
        <f t="shared" si="101"/>
        <v>3</v>
      </c>
      <c r="P473" t="str">
        <f t="shared" si="102"/>
        <v>AGAGACAGGAGCCTTCGGTGTCAGTGGCCCGCCAGATGGCCCT</v>
      </c>
    </row>
    <row r="474" spans="1:16" x14ac:dyDescent="0.25">
      <c r="A474">
        <v>2088109</v>
      </c>
      <c r="B474" t="s">
        <v>48</v>
      </c>
      <c r="C474" t="s">
        <v>482</v>
      </c>
      <c r="E474">
        <f t="shared" si="96"/>
        <v>23</v>
      </c>
      <c r="F474" t="str">
        <f t="shared" si="103"/>
        <v>2088109_chr16:2088175-2088176:C&gt;T</v>
      </c>
      <c r="G474" s="1" t="s">
        <v>1026</v>
      </c>
      <c r="H474" t="s">
        <v>967</v>
      </c>
      <c r="I474" t="s">
        <v>978</v>
      </c>
      <c r="J474" t="s">
        <v>979</v>
      </c>
      <c r="K474" t="str">
        <f t="shared" si="97"/>
        <v>AGAGACAGGAGCCTTCGGTGATCGTGGCCCGCCAGATGGCCCTGCACGCAAATGTGAGTGGGGGTGGGTCCAGGCGTGAGCTGGTGGGATAGGCCCAGGTGCCACCTGATAGTGAGCTCACCCCCTGCCTACGTCAGGTAGGAGGATAGGCCAGG</v>
      </c>
      <c r="L474" t="str">
        <f t="shared" si="98"/>
        <v>CGGTG</v>
      </c>
      <c r="M474" t="str">
        <f t="shared" si="99"/>
        <v>GTGGC</v>
      </c>
      <c r="N474">
        <f t="shared" si="100"/>
        <v>155</v>
      </c>
      <c r="O474">
        <f t="shared" si="101"/>
        <v>3</v>
      </c>
      <c r="P474" t="str">
        <f t="shared" si="102"/>
        <v>AGAGACAGGAGCCTTCGGTGATCGTGGCCCGCCAGATGGCCCT</v>
      </c>
    </row>
    <row r="475" spans="1:16" x14ac:dyDescent="0.25">
      <c r="A475">
        <v>2088109</v>
      </c>
      <c r="B475" t="s">
        <v>48</v>
      </c>
      <c r="C475" t="s">
        <v>483</v>
      </c>
      <c r="E475">
        <f t="shared" si="96"/>
        <v>23</v>
      </c>
      <c r="F475" t="str">
        <f t="shared" si="103"/>
        <v>2088109_chr16:2088181-2088182:C&gt;T</v>
      </c>
      <c r="G475" s="1" t="s">
        <v>1027</v>
      </c>
      <c r="H475" t="s">
        <v>968</v>
      </c>
      <c r="I475" t="s">
        <v>978</v>
      </c>
      <c r="J475" t="s">
        <v>979</v>
      </c>
      <c r="K475" t="str">
        <f t="shared" si="97"/>
        <v>AGAGACAGGAGCCTTCGGTGGTGGTGGCCCGCCAGATGGCCCTGCACGCAAATGTGAGTGGGGGTGGGTCCAGGCGTGAGCTGGTGGGACAGGCCTAGGTGCCACCTGATAGTGAGCTCACCCCCTGCCTACGTCAGGTAGGAGGATAGGCCAGG</v>
      </c>
      <c r="L475" t="str">
        <f t="shared" si="98"/>
        <v>CGGTG</v>
      </c>
      <c r="M475" t="str">
        <f t="shared" si="99"/>
        <v>GTGGC</v>
      </c>
      <c r="N475">
        <f t="shared" si="100"/>
        <v>155</v>
      </c>
      <c r="O475">
        <f t="shared" si="101"/>
        <v>3</v>
      </c>
      <c r="P475" t="str">
        <f t="shared" si="102"/>
        <v>AGAGACAGGAGCCTTCGGTGGTGGTGGCCCGCCAGATGGCCCT</v>
      </c>
    </row>
    <row r="476" spans="1:16" x14ac:dyDescent="0.25">
      <c r="A476">
        <v>2088305</v>
      </c>
      <c r="B476" t="s">
        <v>49</v>
      </c>
      <c r="C476" t="s">
        <v>484</v>
      </c>
      <c r="D476" t="s">
        <v>534</v>
      </c>
      <c r="E476">
        <f t="shared" si="96"/>
        <v>10</v>
      </c>
      <c r="F476" t="str">
        <f>(A476&amp;"_"&amp;D476)</f>
        <v>2088305_wt</v>
      </c>
      <c r="G476" t="s">
        <v>983</v>
      </c>
      <c r="H476" t="s">
        <v>533</v>
      </c>
      <c r="I476" t="s">
        <v>978</v>
      </c>
      <c r="J476" t="s">
        <v>979</v>
      </c>
      <c r="K476" t="str">
        <f t="shared" si="97"/>
        <v>AGAGACAGGAGCCTTCGGTGAGTCAAGCGGCTCCGCCAGCGGGTAGGGAATATGGGGCTCCCTCAGCGGGGTGTGCTGGCTGCCCAAGCTGTGGGGCGGGTGTGTGGGCAGAGCGGTTGCCACGCCTCCCAGACAGGTAGGAGGATAGGCCAGG</v>
      </c>
      <c r="L476" t="str">
        <f t="shared" si="98"/>
        <v>CGGTG</v>
      </c>
      <c r="M476" t="str">
        <f t="shared" si="99"/>
        <v>TCAAG</v>
      </c>
      <c r="N476">
        <f t="shared" si="100"/>
        <v>154</v>
      </c>
      <c r="O476">
        <f t="shared" si="101"/>
        <v>2</v>
      </c>
      <c r="P476" t="str">
        <f t="shared" ref="P476:P485" si="104">LEFT(K476,42)</f>
        <v>AGAGACAGGAGCCTTCGGTGAGTCAAGCGGCTCCGCCAGCGG</v>
      </c>
    </row>
    <row r="477" spans="1:16" x14ac:dyDescent="0.25">
      <c r="A477">
        <v>2088305</v>
      </c>
      <c r="B477" t="s">
        <v>49</v>
      </c>
      <c r="C477" t="s">
        <v>484</v>
      </c>
      <c r="E477">
        <f t="shared" si="96"/>
        <v>10</v>
      </c>
      <c r="F477" t="str">
        <f t="shared" ref="F477:F485" si="105">(A477&amp;"_"&amp;C477)</f>
        <v>2088305_chr16:2088325-2088326:G&gt;-</v>
      </c>
      <c r="G477" t="s">
        <v>984</v>
      </c>
      <c r="H477" t="s">
        <v>969</v>
      </c>
      <c r="I477" t="s">
        <v>978</v>
      </c>
      <c r="J477" t="s">
        <v>979</v>
      </c>
      <c r="K477" t="str">
        <f t="shared" si="97"/>
        <v>AGAGACAGGAGCCTTCGGTGCATCAAGCGGCTCCGCCAGCGGTAGGGAATATGGGGCTCCCTCAGCGGGGTGTGCTGGCTGCCCAAGCTGTGGGGCGGGTGTGTGGGCAGAGCGGTTGCCACGCCTCCCAGACAGGTAGGAGGATAGGCCAGG</v>
      </c>
      <c r="L477" t="str">
        <f t="shared" si="98"/>
        <v>CGGTG</v>
      </c>
      <c r="M477" t="str">
        <f t="shared" si="99"/>
        <v>TCAAG</v>
      </c>
      <c r="N477">
        <f t="shared" si="100"/>
        <v>153</v>
      </c>
      <c r="O477">
        <f t="shared" si="101"/>
        <v>2</v>
      </c>
      <c r="P477" t="str">
        <f t="shared" si="104"/>
        <v>AGAGACAGGAGCCTTCGGTGCATCAAGCGGCTCCGCCAGCGG</v>
      </c>
    </row>
    <row r="478" spans="1:16" x14ac:dyDescent="0.25">
      <c r="A478">
        <v>2088305</v>
      </c>
      <c r="B478" t="s">
        <v>49</v>
      </c>
      <c r="C478" t="s">
        <v>485</v>
      </c>
      <c r="E478">
        <f t="shared" si="96"/>
        <v>10</v>
      </c>
      <c r="F478" t="str">
        <f t="shared" si="105"/>
        <v>2088305_chr16:2088326-2088327:T&gt;G</v>
      </c>
      <c r="G478" t="s">
        <v>985</v>
      </c>
      <c r="H478" t="s">
        <v>970</v>
      </c>
      <c r="I478" t="s">
        <v>978</v>
      </c>
      <c r="J478" t="s">
        <v>979</v>
      </c>
      <c r="K478" t="str">
        <f t="shared" si="97"/>
        <v>AGAGACAGGAGCCTTCGGTGATTCAAGCGGCTCCGCCAGCGGGGAGGGAATATGGGGCTCCCTCAGCGGGGTGTGCTGGCTGCCCAAGCTGTGGGGCGGGTGTGTGGGCAGAGCGGTTGCCACGCCTCCCAGACAGGTAGGAGGATAGGCCAGG</v>
      </c>
      <c r="L478" t="str">
        <f t="shared" si="98"/>
        <v>CGGTG</v>
      </c>
      <c r="M478" t="str">
        <f t="shared" si="99"/>
        <v>TCAAG</v>
      </c>
      <c r="N478">
        <f t="shared" si="100"/>
        <v>154</v>
      </c>
      <c r="O478">
        <f t="shared" si="101"/>
        <v>2</v>
      </c>
      <c r="P478" t="str">
        <f t="shared" si="104"/>
        <v>AGAGACAGGAGCCTTCGGTGATTCAAGCGGCTCCGCCAGCGG</v>
      </c>
    </row>
    <row r="479" spans="1:16" x14ac:dyDescent="0.25">
      <c r="A479">
        <v>2088305</v>
      </c>
      <c r="B479" t="s">
        <v>49</v>
      </c>
      <c r="C479" t="s">
        <v>486</v>
      </c>
      <c r="E479">
        <f t="shared" si="96"/>
        <v>10</v>
      </c>
      <c r="F479" t="str">
        <f t="shared" si="105"/>
        <v>2088305_chr16:2088327-2088328:A&gt;C</v>
      </c>
      <c r="G479" t="s">
        <v>1038</v>
      </c>
      <c r="H479" t="s">
        <v>971</v>
      </c>
      <c r="I479" t="s">
        <v>980</v>
      </c>
      <c r="J479" t="s">
        <v>981</v>
      </c>
      <c r="K479" t="str">
        <f t="shared" si="97"/>
        <v>AGAGACAGGAGCCTTCGGTGTGTCAAGCGGCTCCGCCAGCGGGTCGGGAATATGGGGCTCCCTCAGCGGGGTGTGCTGGCTGCCCAAGCTGTGGGGCGGGTGTGTGGGCAGAGCGGTTGCCACGCCTCCCAGACAGGTAGGAGGATAGGCCAGG</v>
      </c>
      <c r="L479" t="str">
        <f t="shared" si="98"/>
        <v>CGGTG</v>
      </c>
      <c r="M479" t="str">
        <f t="shared" si="99"/>
        <v>TCAAG</v>
      </c>
      <c r="N479">
        <f t="shared" si="100"/>
        <v>154</v>
      </c>
      <c r="O479">
        <f t="shared" si="101"/>
        <v>2</v>
      </c>
      <c r="P479" t="str">
        <f t="shared" si="104"/>
        <v>AGAGACAGGAGCCTTCGGTGTGTCAAGCGGCTCCGCCAGCGG</v>
      </c>
    </row>
    <row r="480" spans="1:16" x14ac:dyDescent="0.25">
      <c r="A480">
        <v>2088305</v>
      </c>
      <c r="B480" t="s">
        <v>49</v>
      </c>
      <c r="C480" t="s">
        <v>487</v>
      </c>
      <c r="E480">
        <f t="shared" si="96"/>
        <v>10</v>
      </c>
      <c r="F480" t="str">
        <f t="shared" si="105"/>
        <v>2088305_chr16:2088330-2088331:G&gt;A</v>
      </c>
      <c r="G480" t="s">
        <v>1086</v>
      </c>
      <c r="H480" t="s">
        <v>972</v>
      </c>
      <c r="I480" t="s">
        <v>978</v>
      </c>
      <c r="J480" t="s">
        <v>981</v>
      </c>
      <c r="K480" t="str">
        <f t="shared" si="97"/>
        <v>AGAGACAGGAGCCTTCGGTGTATCAAGCGGCTCCGCCAGCGGGTAGGAAATATGGGGCTCCCTCAGCGGGGTGTGCTGGCTGCCCAAGCTGTGGGGCGGGTGTGTGGGCAGAGCGGTTGCCACGCCTCCCAGACAGGTAGGAGGATAGGCCAGG</v>
      </c>
      <c r="L480" t="str">
        <f t="shared" si="98"/>
        <v>CGGTG</v>
      </c>
      <c r="M480" t="str">
        <f t="shared" si="99"/>
        <v>TCAAG</v>
      </c>
      <c r="N480">
        <f t="shared" si="100"/>
        <v>154</v>
      </c>
      <c r="O480">
        <f t="shared" si="101"/>
        <v>2</v>
      </c>
      <c r="P480" t="str">
        <f t="shared" si="104"/>
        <v>AGAGACAGGAGCCTTCGGTGTATCAAGCGGCTCCGCCAGCGG</v>
      </c>
    </row>
    <row r="481" spans="1:16" x14ac:dyDescent="0.25">
      <c r="A481">
        <v>2088305</v>
      </c>
      <c r="B481" t="s">
        <v>49</v>
      </c>
      <c r="C481" t="s">
        <v>488</v>
      </c>
      <c r="E481">
        <f t="shared" si="96"/>
        <v>10</v>
      </c>
      <c r="F481" t="str">
        <f t="shared" si="105"/>
        <v>2088305_chr16:2088331-2088332:A&gt;G</v>
      </c>
      <c r="G481" t="s">
        <v>987</v>
      </c>
      <c r="H481" t="s">
        <v>973</v>
      </c>
      <c r="I481" t="s">
        <v>978</v>
      </c>
      <c r="J481" t="s">
        <v>979</v>
      </c>
      <c r="K481" t="str">
        <f t="shared" si="97"/>
        <v>AGAGACAGGAGCCTTCGGTGGCTCAAGCGGCTCCGCCAGCGGGTAGGGGATATGGGGCTCCCTCAGCGGGGTGTGCTGGCTGCCCAAGCTGTGGGGCGGGTGTGTGGGCAGAGCGGTTGCCACGCCTCCCAGACAGGTAGGAGGATAGGCCAGG</v>
      </c>
      <c r="L481" t="str">
        <f t="shared" si="98"/>
        <v>CGGTG</v>
      </c>
      <c r="M481" t="str">
        <f t="shared" si="99"/>
        <v>TCAAG</v>
      </c>
      <c r="N481">
        <f t="shared" si="100"/>
        <v>154</v>
      </c>
      <c r="O481">
        <f t="shared" si="101"/>
        <v>2</v>
      </c>
      <c r="P481" t="str">
        <f t="shared" si="104"/>
        <v>AGAGACAGGAGCCTTCGGTGGCTCAAGCGGCTCCGCCAGCGG</v>
      </c>
    </row>
    <row r="482" spans="1:16" x14ac:dyDescent="0.25">
      <c r="A482">
        <v>2088305</v>
      </c>
      <c r="B482" t="s">
        <v>49</v>
      </c>
      <c r="C482" t="s">
        <v>489</v>
      </c>
      <c r="E482">
        <f t="shared" si="96"/>
        <v>10</v>
      </c>
      <c r="F482" t="str">
        <f t="shared" si="105"/>
        <v>2088305_chr16:2088333-2088334:T&gt;C</v>
      </c>
      <c r="G482" t="s">
        <v>988</v>
      </c>
      <c r="H482" t="s">
        <v>974</v>
      </c>
      <c r="I482" t="s">
        <v>978</v>
      </c>
      <c r="J482" t="s">
        <v>979</v>
      </c>
      <c r="K482" t="str">
        <f t="shared" si="97"/>
        <v>AGAGACAGGAGCCTTCGGTGACTCAAGCGGCTCCGCCAGCGGGTAGGGAACATGGGGCTCCCTCAGCGGGGTGTGCTGGCTGCCCAAGCTGTGGGGCGGGTGTGTGGGCAGAGCGGTTGCCACGCCTCCCAGACAGGTAGGAGGATAGGCCAGG</v>
      </c>
      <c r="L482" t="str">
        <f t="shared" si="98"/>
        <v>CGGTG</v>
      </c>
      <c r="M482" t="str">
        <f t="shared" si="99"/>
        <v>TCAAG</v>
      </c>
      <c r="N482">
        <f t="shared" si="100"/>
        <v>154</v>
      </c>
      <c r="O482">
        <f t="shared" si="101"/>
        <v>2</v>
      </c>
      <c r="P482" t="str">
        <f t="shared" si="104"/>
        <v>AGAGACAGGAGCCTTCGGTGACTCAAGCGGCTCCGCCAGCGG</v>
      </c>
    </row>
    <row r="483" spans="1:16" x14ac:dyDescent="0.25">
      <c r="A483">
        <v>2088305</v>
      </c>
      <c r="B483" t="s">
        <v>49</v>
      </c>
      <c r="C483" t="s">
        <v>490</v>
      </c>
      <c r="E483">
        <f t="shared" si="96"/>
        <v>10</v>
      </c>
      <c r="F483" t="str">
        <f t="shared" si="105"/>
        <v>2088305_chr16:2088342-2088343:C&gt;G</v>
      </c>
      <c r="G483" t="s">
        <v>989</v>
      </c>
      <c r="H483" t="s">
        <v>975</v>
      </c>
      <c r="I483" t="s">
        <v>978</v>
      </c>
      <c r="J483" t="s">
        <v>979</v>
      </c>
      <c r="K483" t="str">
        <f t="shared" si="97"/>
        <v>AGAGACAGGAGCCTTCGGTGCGTCAAGCGGCTCCGCCAGCGGGTAGGGAATATGGGGCTGCCTCAGCGGGGTGTGCTGGCTGCCCAAGCTGTGGGGCGGGTGTGTGGGCAGAGCGGTTGCCACGCCTCCCAGACAGGTAGGAGGATAGGCCAGG</v>
      </c>
      <c r="L483" t="str">
        <f t="shared" si="98"/>
        <v>CGGTG</v>
      </c>
      <c r="M483" t="str">
        <f t="shared" si="99"/>
        <v>TCAAG</v>
      </c>
      <c r="N483">
        <f t="shared" si="100"/>
        <v>154</v>
      </c>
      <c r="O483">
        <f t="shared" si="101"/>
        <v>2</v>
      </c>
      <c r="P483" t="str">
        <f t="shared" si="104"/>
        <v>AGAGACAGGAGCCTTCGGTGCGTCAAGCGGCTCCGCCAGCGG</v>
      </c>
    </row>
    <row r="484" spans="1:16" x14ac:dyDescent="0.25">
      <c r="A484">
        <v>2088305</v>
      </c>
      <c r="B484" t="s">
        <v>49</v>
      </c>
      <c r="C484" t="s">
        <v>491</v>
      </c>
      <c r="E484">
        <f t="shared" si="96"/>
        <v>10</v>
      </c>
      <c r="F484" t="str">
        <f t="shared" si="105"/>
        <v>2088305_chr16:2088349-2088350:C&gt;T</v>
      </c>
      <c r="G484" t="s">
        <v>990</v>
      </c>
      <c r="H484" t="s">
        <v>976</v>
      </c>
      <c r="I484" t="s">
        <v>978</v>
      </c>
      <c r="J484" t="s">
        <v>979</v>
      </c>
      <c r="K484" t="str">
        <f t="shared" si="97"/>
        <v>AGAGACAGGAGCCTTCGGTGGTTCAAGCGGCTCCGCCAGCGGGTAGGGAATATGGGGCTCCCTCAGTGGGGTGTGCTGGCTGCCCAAGCTGTGGGGCGGGTGTGTGGGCAGAGCGGTTGCCACGCCTCCCAGACAGGTAGGAGGATAGGCCAGG</v>
      </c>
      <c r="L484" t="str">
        <f t="shared" si="98"/>
        <v>CGGTG</v>
      </c>
      <c r="M484" t="str">
        <f t="shared" si="99"/>
        <v>TCAAG</v>
      </c>
      <c r="N484">
        <f t="shared" si="100"/>
        <v>154</v>
      </c>
      <c r="O484">
        <f t="shared" si="101"/>
        <v>2</v>
      </c>
      <c r="P484" t="str">
        <f t="shared" si="104"/>
        <v>AGAGACAGGAGCCTTCGGTGGTTCAAGCGGCTCCGCCAGCGG</v>
      </c>
    </row>
    <row r="485" spans="1:16" x14ac:dyDescent="0.25">
      <c r="A485">
        <v>2088305</v>
      </c>
      <c r="B485" t="s">
        <v>49</v>
      </c>
      <c r="C485" t="s">
        <v>492</v>
      </c>
      <c r="E485">
        <f t="shared" si="96"/>
        <v>10</v>
      </c>
      <c r="F485" t="str">
        <f t="shared" si="105"/>
        <v>2088305_chr16:2088362-2088363:C&gt;G</v>
      </c>
      <c r="G485" t="s">
        <v>991</v>
      </c>
      <c r="H485" t="s">
        <v>977</v>
      </c>
      <c r="I485" t="s">
        <v>978</v>
      </c>
      <c r="J485" t="s">
        <v>979</v>
      </c>
      <c r="K485" t="str">
        <f t="shared" si="97"/>
        <v>AGAGACAGGAGCCTTCGGTGGATCAAGCGGCTCCGCCAGCGGGTAGGGAATATGGGGCTCCCTCAGCGGGGTGTGCTGGGTGCCCAAGCTGTGGGGCGGGTGTGTGGGCAGAGCGGTTGCCACGCCTCCCAGACAGGTAGGAGGATAGGCCAGG</v>
      </c>
      <c r="L485" t="str">
        <f t="shared" si="98"/>
        <v>CGGTG</v>
      </c>
      <c r="M485" t="str">
        <f t="shared" si="99"/>
        <v>TCAAG</v>
      </c>
      <c r="N485">
        <f t="shared" si="100"/>
        <v>154</v>
      </c>
      <c r="O485">
        <f t="shared" si="101"/>
        <v>2</v>
      </c>
      <c r="P485" t="str">
        <f t="shared" si="104"/>
        <v>AGAGACAGGAGCCTTCGGTGGATCAAGCGGCTCCGCCAGCGG</v>
      </c>
    </row>
  </sheetData>
  <sortState ref="A2:I889">
    <sortCondition ref="A2:A889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</dc:creator>
  <cp:lastModifiedBy>little</cp:lastModifiedBy>
  <dcterms:created xsi:type="dcterms:W3CDTF">2018-12-21T06:34:42Z</dcterms:created>
  <dcterms:modified xsi:type="dcterms:W3CDTF">2019-10-09T08:53:04Z</dcterms:modified>
</cp:coreProperties>
</file>