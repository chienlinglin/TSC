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3 ss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工作表1!$L$1:$L$27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</calcChain>
</file>

<file path=xl/sharedStrings.xml><?xml version="1.0" encoding="utf-8"?>
<sst xmlns="http://schemas.openxmlformats.org/spreadsheetml/2006/main" count="155" uniqueCount="90">
  <si>
    <t>V10</t>
  </si>
  <si>
    <t>V4</t>
  </si>
  <si>
    <t>Name</t>
    <phoneticPr fontId="1" type="noConversion"/>
  </si>
  <si>
    <t>Barcode</t>
    <phoneticPr fontId="1" type="noConversion"/>
  </si>
  <si>
    <t>wt_alt_112</t>
    <phoneticPr fontId="1" type="noConversion"/>
  </si>
  <si>
    <t>F_priming</t>
    <phoneticPr fontId="1" type="noConversion"/>
  </si>
  <si>
    <t>R_priming</t>
    <phoneticPr fontId="1" type="noConversion"/>
  </si>
  <si>
    <t>final_seq</t>
    <phoneticPr fontId="1" type="noConversion"/>
  </si>
  <si>
    <t>uc004cca.3_intron_18_0_chr9_132925740_r</t>
  </si>
  <si>
    <t>uc004cca.3_intron_14_0_chr9_132912458_r</t>
  </si>
  <si>
    <t>chr9:132915995-132915996:A&gt;G</t>
  </si>
  <si>
    <t>chr9:132925895-132925896:G&gt;A</t>
  </si>
  <si>
    <t>CTCCTCCAGCCCAGACACTGGTGAGGGTGGCCCTAATCTTTTGGAGAGAGGGATGTAGGTAGGAGGATAGGCCAGGACAAAGCTTTTGTTTGCTAACGTGGTTTTTAAAATC</t>
  </si>
  <si>
    <t>CTCCTCCAGCCCAGACACTGGTGAGGGTGGCCCTAATCTTTTGGAGAGAGGGATGTAGGTAGGAGGATAGGCCAGGACAAAGCCTCCTCTAAAATCAATCTTCTTGTGTGTA</t>
  </si>
  <si>
    <t>CTCCTCCAGCCCAGACACTGGTGAGGGTGGCCCTAATCTTTTGGAGAGAGGGATGTAGGTAGGAGGATAGGCCAGGACAAAGCTTTTGTTTGCTAACATGGTTTTTAAAATC</t>
  </si>
  <si>
    <t>CTCCTCCAGCCCAGACACTGGTGAGGGTGGCCCTAATCTTTTGGAGAGAGGGATGTAGGTAGGAGGATAGGCCAGGACAAAGCCTCCTCTAAAATCAGTCTTCTTGTGTGTA</t>
  </si>
  <si>
    <t>uc002con.4_intron_2_0_chr16_2050487_f</t>
  </si>
  <si>
    <t>uc002con.4_intron_4_0_chr16_2054441_f</t>
  </si>
  <si>
    <t>uc002con.4_intron_8_0_chr16_2057179_f</t>
  </si>
  <si>
    <t>uc002con.4_intron_10_0_chr16_2060814_f</t>
  </si>
  <si>
    <t>uc002con.4_intron_15_0_chr16_2065636_f</t>
  </si>
  <si>
    <t>uc002con.4_intron_19_0_chr16_2072364_f</t>
  </si>
  <si>
    <t>uc002con.4_intron_24_0_chr16_2076586_f</t>
  </si>
  <si>
    <t>uc002con.4_intron_31_0_chr16_2082505_f</t>
  </si>
  <si>
    <t>uc002con.4_intron_36_0_chr16_2086380_f</t>
  </si>
  <si>
    <t>chr16:2051945-2051946:T&gt;C</t>
  </si>
  <si>
    <t>chr16:2052256-2052266:TGTCTGAATT&gt;-</t>
  </si>
  <si>
    <t>chr16:2055287-2055288:T&gt;C</t>
  </si>
  <si>
    <t>chr16:2058068-2058069:C&gt;A</t>
  </si>
  <si>
    <t>chr16:2061777-2061778:T&gt;C</t>
  </si>
  <si>
    <t>chr16:2069401-2069402:C&gt;T</t>
  </si>
  <si>
    <t>chr16:2072722-2072723:C&gt;T</t>
  </si>
  <si>
    <t>chr16:2072749-2072752:CCT&gt;-</t>
  </si>
  <si>
    <t>chr16:2077475-2077476:G&gt;A</t>
  </si>
  <si>
    <t>chr16:2083544-2083545:G&gt;A</t>
  </si>
  <si>
    <t>chr16:2086622-2086623:T&gt;C</t>
  </si>
  <si>
    <t>CTCCTCCAGCCCAGACACTGGTGAGGGTGGCCCTAATCTTTTGGAGAGAGGGATGTAGGTAGGAGGATAGGCCAGGACAAAGCTCGGGCACCTGTAACCCCAGCTACTTGGG</t>
  </si>
  <si>
    <t>CTCCTCCAGCCCAGACACTGGTGAGGGTGGCCCTAATCTTTTGGAGAGAGGGATGTAGGTAGGAGGATAGGCCAGGACAAAGCGTGAGAGTGCCAGTGGTTGGGATGTTGG</t>
  </si>
  <si>
    <t>CTCCTCCAGCCCAGACACTGGTGAGGGTGGCCCTAATCTTTTGGAGAGAGGGATGTAGGTAGGAGGATAGGCCAGGACAAAGCTGCCGGGGGACTGACGATGGGGTTTCTGG</t>
  </si>
  <si>
    <t>CTCCTCCAGCCCAGACACTGGTGAGGGTGGCCCTAATCTTTTGGAGAGAGGGATGTAGGTAGGAGGATAGGCCAGGACAAAGCCTCCATCCTTGGAAACAGGCCCTGGGGCC</t>
  </si>
  <si>
    <t>CTCCTCCAGCCCAGACACTGGTGAGGGTGGCCCTAATCTTTTGGAGAGAGGGATGTAGGTAGGAGGATAGGCCAGGACAAAGCGAGAGGGCTGAGGGCGTCTCCATGCGGTG</t>
  </si>
  <si>
    <t>CTCCTCCAGCCCAGACACTGGTGAGGGTGGCCCTAATCTTTTGGAGAGAGGGATGTAGGTAGGAGGATAGGCCAGGACAAAGCTTCACTGCAACCTCTGCCTCCTGGGTTCA</t>
  </si>
  <si>
    <t>CTCCTCCAGCCCAGACACTGGTGAGGGTGGCCCTAATCTTTTGGAGAGAGGGATGTAGGTAGGAGGATAGGCCAGGACAAAGCTCCTGGGAGGGAGGTAAGAAGGCTCCCCA</t>
  </si>
  <si>
    <t>CTCCTCCAGCCCAGACACTGGTGAGGGTGGCCCTAATCTTTTGGAGAGAGGGATGTAGGTAGGAGGATAGGCCAGGACAAAGCCAGCCCCTTTGCCCTTCCTGGGCCTGCG</t>
  </si>
  <si>
    <t>CTCCTCCAGCCCAGACACTGGTGAGGGTGGCCCTAATCTTTTGGAGAGAGGGATGTAGGTAGGAGGATAGGCCAGGACAAAGCCTCATCTCACCCGCAGGATCTCTCCATCC</t>
  </si>
  <si>
    <t>CTCCTCCAGCCCAGACACTGGTGAGGGTGGCCCTAATCTTTTGGAGAGAGGGATGTAGGTAGGAGGATAGGCCAGGACAAAGCCGTCCTCCCTGCCCACTCGGTGGATGGCA</t>
  </si>
  <si>
    <t>CTCCTCCAGCCCAGACACTGGTGAGGGTGGCCCTAATCTTTTGGAGAGAGGGATGTAGGTAGGAGGATAGGCCAGGACAAAGCACCAGAGGACGTGGCCCCCGCAGGCCCCC</t>
  </si>
  <si>
    <t>CTCCTCCAGCCCAGACACTGGTGAGGGTGGCCCTAATCTTTTGGAGAGAGGGATGTAGGTAGGAGGATAGGCCAGGACAAAGCTCGGGCACCTGTAATCCCAGCTACTTGGG</t>
  </si>
  <si>
    <t>CTCCTCCAGCCCAGACACTGGTGAGGGTGGCCCTAATCTTTTGGAGAGAGGGATGTAGGTAGGAGGATAGGCCAGGACAAAGCGTGAGAGTGCCAGTTGTCTGAATTGGTTGGGATGTTGG</t>
  </si>
  <si>
    <t>CTCCTCCAGCCCAGACACTGGTGAGGGTGGCCCTAATCTTTTGGAGAGAGGGATGTAGGTAGGAGGATAGGCCAGGACAAAGCTGCCGGGGGACTGATGATGGGGTTTCTGG</t>
  </si>
  <si>
    <t>CTCCTCCAGCCCAGACACTGGTGAGGGTGGCCCTAATCTTTTGGAGAGAGGGATGTAGGTAGGAGGATAGGCCAGGACAAAGCCTCCATCCTTGGAACCAGGCCCTGGGGCC</t>
  </si>
  <si>
    <t>CTCCTCCAGCCCAGACACTGGTGAGGGTGGCCCTAATCTTTTGGAGAGAGGGATGTAGGTAGGAGGATAGGCCAGGACAAAGCGAGAGGGCTGAGGGTGTCTCCATGCGGTG</t>
  </si>
  <si>
    <t>CTCCTCCAGCCCAGACACTGGTGAGGGTGGCCCTAATCTTTTGGAGAGAGGGATGTAGGTAGGAGGATAGGCCAGGACAAAGCTTCACTGCAACCTCCGCCTCCTGGGTTCA</t>
  </si>
  <si>
    <t>CTCCTCCAGCCCAGACACTGGTGAGGGTGGCCCTAATCTTTTGGAGAGAGGGATGTAGGTAGGAGGATAGGCCAGGACAAAGCTCCTGGGAGGGAGGCAAGAAGGCTCCCCA</t>
  </si>
  <si>
    <t>CTCCTCCAGCCCAGACACTGGTGAGGGTGGCCCTAATCTTTTGGAGAGAGGGATGTAGGTAGGAGGATAGGCCAGGACAAAGCCAGCCCCTTTGCCCCCTTTCCTGGGCCTGCG</t>
  </si>
  <si>
    <t>CTCCTCCAGCCCAGACACTGGTGAGGGTGGCCCTAATCTTTTGGAGAGAGGGATGTAGGTAGGAGGATAGGCCAGGACAAAGCCTCATCTCACCCGCGGGATCTCTCCATCC</t>
  </si>
  <si>
    <t>CTCCTCCAGCCCAGACACTGGTGAGGGTGGCCCTAATCTTTTGGAGAGAGGGATGTAGGTAGGAGGATAGGCCAGGACAAAGCCGTCCTCCCTGCCCGCTCGGTGGATGGCA</t>
  </si>
  <si>
    <t>CTCCTCCAGCCCAGACACTGGTGAGGGTGGCCCTAATCTTTTGGAGAGAGGGATGTAGGTAGGAGGATAGGCCAGGACAAAGCACCAGAGGACGTGGTCCCCGCAGGCCCCC</t>
  </si>
  <si>
    <t>TGGGGCCTGAAGACCTGACT</t>
  </si>
  <si>
    <t>GCTGCTGTGCTCCTTTTCCG</t>
  </si>
  <si>
    <t>CAT</t>
  </si>
  <si>
    <t>GAG</t>
  </si>
  <si>
    <t>TAT</t>
  </si>
  <si>
    <t>TGA</t>
  </si>
  <si>
    <t>GTA</t>
  </si>
  <si>
    <t>ATA</t>
  </si>
  <si>
    <t>AGC</t>
  </si>
  <si>
    <t>CTG</t>
  </si>
  <si>
    <t>CGT</t>
  </si>
  <si>
    <t>TGC</t>
  </si>
  <si>
    <t>GCA</t>
  </si>
  <si>
    <t>check ESE left</t>
    <phoneticPr fontId="1" type="noConversion"/>
  </si>
  <si>
    <t>right</t>
    <phoneticPr fontId="1" type="noConversion"/>
  </si>
  <si>
    <t>TCG</t>
  </si>
  <si>
    <t>ACT</t>
  </si>
  <si>
    <t>CGA</t>
  </si>
  <si>
    <t>GGA</t>
  </si>
  <si>
    <t>GAT</t>
  </si>
  <si>
    <t>CTC</t>
  </si>
  <si>
    <t>TGT</t>
  </si>
  <si>
    <t>ACG</t>
  </si>
  <si>
    <t>TCA</t>
  </si>
  <si>
    <t>GTG</t>
  </si>
  <si>
    <t>CAG</t>
  </si>
  <si>
    <t>CTA</t>
  </si>
  <si>
    <t>GCT</t>
  </si>
  <si>
    <t>ATC</t>
    <phoneticPr fontId="1" type="noConversion"/>
  </si>
  <si>
    <t>CAC</t>
    <phoneticPr fontId="1" type="noConversion"/>
  </si>
  <si>
    <t>seq_len</t>
    <phoneticPr fontId="1" type="noConversion"/>
  </si>
  <si>
    <t>exon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</si>
</sst>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4" tint="-0.49998474074526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topLeftCell="D1" workbookViewId="0">
      <selection activeCell="M2" sqref="M2:M27"/>
    </sheetView>
  </sheetViews>
  <sheetFormatPr defaultRowHeight="16.5" x14ac:dyDescent="0.25"/>
  <cols>
    <col min="1" max="1" width="13.625" customWidth="1"/>
    <col min="2" max="2" width="24.25" customWidth="1"/>
    <col min="3" max="3" width="34.875" customWidth="1"/>
    <col min="4" max="4" width="15.875" customWidth="1"/>
    <col min="10" max="10" width="12.7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71</v>
      </c>
      <c r="K1" t="s">
        <v>72</v>
      </c>
      <c r="L1" t="s">
        <v>88</v>
      </c>
      <c r="M1" t="s">
        <v>89</v>
      </c>
    </row>
    <row r="2" spans="1:13" x14ac:dyDescent="0.25">
      <c r="A2">
        <v>132915981</v>
      </c>
      <c r="B2" t="s">
        <v>9</v>
      </c>
      <c r="C2" t="s">
        <v>10</v>
      </c>
      <c r="D2" t="str">
        <f>(A2&amp;"_"&amp;C2)</f>
        <v>132915981_chr9:132915995-132915996:A&gt;G</v>
      </c>
      <c r="E2" s="1" t="s">
        <v>60</v>
      </c>
      <c r="F2" t="s">
        <v>15</v>
      </c>
      <c r="G2" t="s">
        <v>58</v>
      </c>
      <c r="H2" t="s">
        <v>59</v>
      </c>
      <c r="I2" t="str">
        <f>(G2&amp;F2&amp;E2&amp;H2)</f>
        <v>TGGGGCCTGAAGACCTGACTCTCCTCCAGCCCAGACACTGGTGAGGGTGGCCCTAATCTTTTGGAGAGAGGGATGTAGGTAGGAGGATAGGCCAGGACAAAGCCTCCTCTAAAATCAGTCTTCTTGTGTGTACATGCTGCTGTGCTCCTTTTCCG</v>
      </c>
      <c r="J2" t="str">
        <f>RIGHT(F2,5)</f>
        <v>GTGTA</v>
      </c>
      <c r="K2" t="str">
        <f>LEFT(H2,5)</f>
        <v>GCTGC</v>
      </c>
      <c r="L2">
        <f>LEN(I2)</f>
        <v>155</v>
      </c>
      <c r="M2" t="str">
        <f>RIGHT(I2,43)</f>
        <v>AATCAGTCTTCTTGTGTGTACATGCTGCTGTGCTCCTTTTCCG</v>
      </c>
    </row>
    <row r="3" spans="1:13" x14ac:dyDescent="0.25">
      <c r="A3">
        <v>132915981</v>
      </c>
      <c r="B3" t="s">
        <v>9</v>
      </c>
      <c r="D3" t="str">
        <f t="shared" ref="D3:D27" si="0">(A3&amp;"_"&amp;C3)</f>
        <v>132915981_</v>
      </c>
      <c r="E3" s="1" t="s">
        <v>63</v>
      </c>
      <c r="F3" t="s">
        <v>13</v>
      </c>
      <c r="G3" t="s">
        <v>58</v>
      </c>
      <c r="H3" t="s">
        <v>59</v>
      </c>
      <c r="I3" t="str">
        <f t="shared" ref="I3:I27" si="1">(G3&amp;F3&amp;E3&amp;H3)</f>
        <v>TGGGGCCTGAAGACCTGACTCTCCTCCAGCCCAGACACTGGTGAGGGTGGCCCTAATCTTTTGGAGAGAGGGATGTAGGTAGGAGGATAGGCCAGGACAAAGCCTCCTCTAAAATCAATCTTCTTGTGTGTATGAGCTGCTGTGCTCCTTTTCCG</v>
      </c>
      <c r="J3" t="str">
        <f t="shared" ref="J3:J27" si="2">RIGHT(F3,5)</f>
        <v>GTGTA</v>
      </c>
      <c r="K3" t="str">
        <f t="shared" ref="K3:K27" si="3">LEFT(H3,5)</f>
        <v>GCTGC</v>
      </c>
      <c r="L3">
        <f t="shared" ref="L3:L27" si="4">LEN(I3)</f>
        <v>155</v>
      </c>
      <c r="M3" t="str">
        <f t="shared" ref="M3:M27" si="5">RIGHT(I3,43)</f>
        <v>AATCAATCTTCTTGTGTGTATGAGCTGCTGTGCTCCTTTTCCG</v>
      </c>
    </row>
    <row r="4" spans="1:13" x14ac:dyDescent="0.25">
      <c r="A4">
        <v>132925881</v>
      </c>
      <c r="B4" t="s">
        <v>8</v>
      </c>
      <c r="C4" t="s">
        <v>11</v>
      </c>
      <c r="D4" t="str">
        <f t="shared" si="0"/>
        <v>132925881_chr9:132925895-132925896:G&gt;A</v>
      </c>
      <c r="E4" s="1" t="s">
        <v>61</v>
      </c>
      <c r="F4" t="s">
        <v>14</v>
      </c>
      <c r="G4" t="s">
        <v>58</v>
      </c>
      <c r="H4" t="s">
        <v>59</v>
      </c>
      <c r="I4" t="str">
        <f t="shared" si="1"/>
        <v>TGGGGCCTGAAGACCTGACTCTCCTCCAGCCCAGACACTGGTGAGGGTGGCCCTAATCTTTTGGAGAGAGGGATGTAGGTAGGAGGATAGGCCAGGACAAAGCTTTTGTTTGCTAACATGGTTTTTAAAATCGAGGCTGCTGTGCTCCTTTTCCG</v>
      </c>
      <c r="J4" t="str">
        <f t="shared" si="2"/>
        <v>AAATC</v>
      </c>
      <c r="K4" t="str">
        <f t="shared" si="3"/>
        <v>GCTGC</v>
      </c>
      <c r="L4">
        <f t="shared" si="4"/>
        <v>155</v>
      </c>
      <c r="M4" t="str">
        <f t="shared" si="5"/>
        <v>CTAACATGGTTTTTAAAATCGAGGCTGCTGTGCTCCTTTTCCG</v>
      </c>
    </row>
    <row r="5" spans="1:13" x14ac:dyDescent="0.25">
      <c r="A5">
        <v>132925881</v>
      </c>
      <c r="B5" t="s">
        <v>8</v>
      </c>
      <c r="D5" t="str">
        <f t="shared" si="0"/>
        <v>132925881_</v>
      </c>
      <c r="E5" s="1" t="s">
        <v>68</v>
      </c>
      <c r="F5" t="s">
        <v>12</v>
      </c>
      <c r="G5" t="s">
        <v>58</v>
      </c>
      <c r="H5" t="s">
        <v>59</v>
      </c>
      <c r="I5" t="str">
        <f t="shared" si="1"/>
        <v>TGGGGCCTGAAGACCTGACTCTCCTCCAGCCCAGACACTGGTGAGGGTGGCCCTAATCTTTTGGAGAGAGGGATGTAGGTAGGAGGATAGGCCAGGACAAAGCTTTTGTTTGCTAACGTGGTTTTTAAAATCCGTGCTGCTGTGCTCCTTTTCCG</v>
      </c>
      <c r="J5" t="str">
        <f t="shared" si="2"/>
        <v>AAATC</v>
      </c>
      <c r="K5" t="str">
        <f t="shared" si="3"/>
        <v>GCTGC</v>
      </c>
      <c r="L5">
        <f t="shared" si="4"/>
        <v>155</v>
      </c>
      <c r="M5" t="str">
        <f t="shared" si="5"/>
        <v>CTAACGTGGTTTTTAAAATCCGTGCTGCTGTGCTCCTTTTCCG</v>
      </c>
    </row>
    <row r="6" spans="1:13" x14ac:dyDescent="0.25">
      <c r="A6">
        <v>2051931</v>
      </c>
      <c r="B6" t="s">
        <v>16</v>
      </c>
      <c r="D6" t="str">
        <f t="shared" si="0"/>
        <v>2051931_</v>
      </c>
      <c r="E6" s="1" t="s">
        <v>73</v>
      </c>
      <c r="F6" t="s">
        <v>47</v>
      </c>
      <c r="G6" t="s">
        <v>58</v>
      </c>
      <c r="H6" t="s">
        <v>59</v>
      </c>
      <c r="I6" t="str">
        <f t="shared" si="1"/>
        <v>TGGGGCCTGAAGACCTGACTCTCCTCCAGCCCAGACACTGGTGAGGGTGGCCCTAATCTTTTGGAGAGAGGGATGTAGGTAGGAGGATAGGCCAGGACAAAGCTCGGGCACCTGTAATCCCAGCTACTTGGGTCGGCTGCTGTGCTCCTTTTCCG</v>
      </c>
      <c r="J6" t="str">
        <f t="shared" si="2"/>
        <v>TTGGG</v>
      </c>
      <c r="K6" t="str">
        <f t="shared" si="3"/>
        <v>GCTGC</v>
      </c>
      <c r="L6">
        <f t="shared" si="4"/>
        <v>155</v>
      </c>
      <c r="M6" t="str">
        <f t="shared" si="5"/>
        <v>TGTAATCCCAGCTACTTGGGTCGGCTGCTGTGCTCCTTTTCCG</v>
      </c>
    </row>
    <row r="7" spans="1:13" x14ac:dyDescent="0.25">
      <c r="A7">
        <v>2051931</v>
      </c>
      <c r="B7" t="s">
        <v>16</v>
      </c>
      <c r="C7" t="s">
        <v>25</v>
      </c>
      <c r="D7" t="str">
        <f t="shared" si="0"/>
        <v>2051931_chr16:2051945-2051946:T&gt;C</v>
      </c>
      <c r="E7" s="1" t="s">
        <v>62</v>
      </c>
      <c r="F7" t="s">
        <v>36</v>
      </c>
      <c r="G7" t="s">
        <v>58</v>
      </c>
      <c r="H7" t="s">
        <v>59</v>
      </c>
      <c r="I7" t="str">
        <f t="shared" si="1"/>
        <v>TGGGGCCTGAAGACCTGACTCTCCTCCAGCCCAGACACTGGTGAGGGTGGCCCTAATCTTTTGGAGAGAGGGATGTAGGTAGGAGGATAGGCCAGGACAAAGCTCGGGCACCTGTAACCCCAGCTACTTGGGTATGCTGCTGTGCTCCTTTTCCG</v>
      </c>
      <c r="J7" t="str">
        <f t="shared" si="2"/>
        <v>TTGGG</v>
      </c>
      <c r="K7" t="str">
        <f t="shared" si="3"/>
        <v>GCTGC</v>
      </c>
      <c r="L7">
        <f t="shared" si="4"/>
        <v>155</v>
      </c>
      <c r="M7" t="str">
        <f t="shared" si="5"/>
        <v>TGTAACCCCAGCTACTTGGGTATGCTGCTGTGCTCCTTTTCCG</v>
      </c>
    </row>
    <row r="8" spans="1:13" x14ac:dyDescent="0.25">
      <c r="A8">
        <v>2052242</v>
      </c>
      <c r="B8" t="s">
        <v>16</v>
      </c>
      <c r="D8" t="str">
        <f t="shared" si="0"/>
        <v>2052242_</v>
      </c>
      <c r="E8" s="2" t="s">
        <v>87</v>
      </c>
      <c r="F8" t="s">
        <v>48</v>
      </c>
      <c r="G8" t="s">
        <v>58</v>
      </c>
      <c r="H8" t="s">
        <v>59</v>
      </c>
      <c r="I8" t="str">
        <f t="shared" si="1"/>
        <v>TGGGGCCTGAAGACCTGACTCTCCTCCAGCCCAGACACTGGTGAGGGTGGCCCTAATCTTTTGGAGAGAGGGATGTAGGTAGGAGGATAGGCCAGGACAAAGCGTGAGAGTGCCAGTTGTCTGAATTGGTTGGGATGTTGGCACGCTGCTGTGCTCCTTTTCCG</v>
      </c>
      <c r="J8" t="str">
        <f t="shared" si="2"/>
        <v>GTTGG</v>
      </c>
      <c r="K8" t="str">
        <f t="shared" si="3"/>
        <v>GCTGC</v>
      </c>
      <c r="L8">
        <f t="shared" si="4"/>
        <v>164</v>
      </c>
      <c r="M8" t="str">
        <f t="shared" si="5"/>
        <v>TGAATTGGTTGGGATGTTGGCACGCTGCTGTGCTCCTTTTCCG</v>
      </c>
    </row>
    <row r="9" spans="1:13" x14ac:dyDescent="0.25">
      <c r="A9">
        <v>2052242</v>
      </c>
      <c r="B9" t="s">
        <v>16</v>
      </c>
      <c r="C9" t="s">
        <v>26</v>
      </c>
      <c r="D9" t="str">
        <f t="shared" si="0"/>
        <v>2052242_chr16:2052256-2052266:TGTCTGAATT&gt;-</v>
      </c>
      <c r="E9" s="1" t="s">
        <v>64</v>
      </c>
      <c r="F9" t="s">
        <v>37</v>
      </c>
      <c r="G9" t="s">
        <v>58</v>
      </c>
      <c r="H9" t="s">
        <v>59</v>
      </c>
      <c r="I9" t="str">
        <f t="shared" si="1"/>
        <v>TGGGGCCTGAAGACCTGACTCTCCTCCAGCCCAGACACTGGTGAGGGTGGCCCTAATCTTTTGGAGAGAGGGATGTAGGTAGGAGGATAGGCCAGGACAAAGCGTGAGAGTGCCAGTGGTTGGGATGTTGGGTAGCTGCTGTGCTCCTTTTCCG</v>
      </c>
      <c r="J9" t="str">
        <f t="shared" si="2"/>
        <v>GTTGG</v>
      </c>
      <c r="K9" t="str">
        <f t="shared" si="3"/>
        <v>GCTGC</v>
      </c>
      <c r="L9">
        <f t="shared" si="4"/>
        <v>154</v>
      </c>
      <c r="M9" t="str">
        <f t="shared" si="5"/>
        <v>GCCAGTGGTTGGGATGTTGGGTAGCTGCTGTGCTCCTTTTCCG</v>
      </c>
    </row>
    <row r="10" spans="1:13" x14ac:dyDescent="0.25">
      <c r="A10">
        <v>2055273</v>
      </c>
      <c r="B10" t="s">
        <v>17</v>
      </c>
      <c r="D10" t="str">
        <f t="shared" si="0"/>
        <v>2055273_</v>
      </c>
      <c r="E10" s="1" t="s">
        <v>65</v>
      </c>
      <c r="F10" t="s">
        <v>49</v>
      </c>
      <c r="G10" t="s">
        <v>58</v>
      </c>
      <c r="H10" t="s">
        <v>59</v>
      </c>
      <c r="I10" t="str">
        <f t="shared" si="1"/>
        <v>TGGGGCCTGAAGACCTGACTCTCCTCCAGCCCAGACACTGGTGAGGGTGGCCCTAATCTTTTGGAGAGAGGGATGTAGGTAGGAGGATAGGCCAGGACAAAGCTGCCGGGGGACTGATGATGGGGTTTCTGGATAGCTGCTGTGCTCCTTTTCCG</v>
      </c>
      <c r="J10" t="str">
        <f t="shared" si="2"/>
        <v>TCTGG</v>
      </c>
      <c r="K10" t="str">
        <f t="shared" si="3"/>
        <v>GCTGC</v>
      </c>
      <c r="L10">
        <f t="shared" si="4"/>
        <v>155</v>
      </c>
      <c r="M10" t="str">
        <f t="shared" si="5"/>
        <v>ACTGATGATGGGGTTTCTGGATAGCTGCTGTGCTCCTTTTCCG</v>
      </c>
    </row>
    <row r="11" spans="1:13" x14ac:dyDescent="0.25">
      <c r="A11">
        <v>2055273</v>
      </c>
      <c r="B11" t="s">
        <v>17</v>
      </c>
      <c r="C11" t="s">
        <v>27</v>
      </c>
      <c r="D11" t="str">
        <f t="shared" si="0"/>
        <v>2055273_chr16:2055287-2055288:T&gt;C</v>
      </c>
      <c r="E11" s="1" t="s">
        <v>66</v>
      </c>
      <c r="F11" t="s">
        <v>38</v>
      </c>
      <c r="G11" t="s">
        <v>58</v>
      </c>
      <c r="H11" t="s">
        <v>59</v>
      </c>
      <c r="I11" t="str">
        <f t="shared" si="1"/>
        <v>TGGGGCCTGAAGACCTGACTCTCCTCCAGCCCAGACACTGGTGAGGGTGGCCCTAATCTTTTGGAGAGAGGGATGTAGGTAGGAGGATAGGCCAGGACAAAGCTGCCGGGGGACTGACGATGGGGTTTCTGGAGCGCTGCTGTGCTCCTTTTCCG</v>
      </c>
      <c r="J11" t="str">
        <f t="shared" si="2"/>
        <v>TCTGG</v>
      </c>
      <c r="K11" t="str">
        <f t="shared" si="3"/>
        <v>GCTGC</v>
      </c>
      <c r="L11">
        <f t="shared" si="4"/>
        <v>155</v>
      </c>
      <c r="M11" t="str">
        <f t="shared" si="5"/>
        <v>ACTGACGATGGGGTTTCTGGAGCGCTGCTGTGCTCCTTTTCCG</v>
      </c>
    </row>
    <row r="12" spans="1:13" x14ac:dyDescent="0.25">
      <c r="A12">
        <v>2058054</v>
      </c>
      <c r="B12" t="s">
        <v>18</v>
      </c>
      <c r="D12" t="str">
        <f t="shared" si="0"/>
        <v>2058054_</v>
      </c>
      <c r="E12" s="1" t="s">
        <v>67</v>
      </c>
      <c r="F12" t="s">
        <v>50</v>
      </c>
      <c r="G12" t="s">
        <v>58</v>
      </c>
      <c r="H12" t="s">
        <v>59</v>
      </c>
      <c r="I12" t="str">
        <f t="shared" si="1"/>
        <v>TGGGGCCTGAAGACCTGACTCTCCTCCAGCCCAGACACTGGTGAGGGTGGCCCTAATCTTTTGGAGAGAGGGATGTAGGTAGGAGGATAGGCCAGGACAAAGCCTCCATCCTTGGAACCAGGCCCTGGGGCCCTGGCTGCTGTGCTCCTTTTCCG</v>
      </c>
      <c r="J12" t="str">
        <f t="shared" si="2"/>
        <v>GGGCC</v>
      </c>
      <c r="K12" t="str">
        <f t="shared" si="3"/>
        <v>GCTGC</v>
      </c>
      <c r="L12">
        <f t="shared" si="4"/>
        <v>155</v>
      </c>
      <c r="M12" t="str">
        <f t="shared" si="5"/>
        <v>TGGAACCAGGCCCTGGGGCCCTGGCTGCTGTGCTCCTTTTCCG</v>
      </c>
    </row>
    <row r="13" spans="1:13" x14ac:dyDescent="0.25">
      <c r="A13">
        <v>2058054</v>
      </c>
      <c r="B13" t="s">
        <v>18</v>
      </c>
      <c r="C13" t="s">
        <v>28</v>
      </c>
      <c r="D13" t="str">
        <f t="shared" si="0"/>
        <v>2058054_chr16:2058068-2058069:C&gt;A</v>
      </c>
      <c r="E13" s="1" t="s">
        <v>74</v>
      </c>
      <c r="F13" t="s">
        <v>39</v>
      </c>
      <c r="G13" t="s">
        <v>58</v>
      </c>
      <c r="H13" t="s">
        <v>59</v>
      </c>
      <c r="I13" t="str">
        <f t="shared" si="1"/>
        <v>TGGGGCCTGAAGACCTGACTCTCCTCCAGCCCAGACACTGGTGAGGGTGGCCCTAATCTTTTGGAGAGAGGGATGTAGGTAGGAGGATAGGCCAGGACAAAGCCTCCATCCTTGGAAACAGGCCCTGGGGCCACTGCTGCTGTGCTCCTTTTCCG</v>
      </c>
      <c r="J13" t="str">
        <f t="shared" si="2"/>
        <v>GGGCC</v>
      </c>
      <c r="K13" t="str">
        <f t="shared" si="3"/>
        <v>GCTGC</v>
      </c>
      <c r="L13">
        <f t="shared" si="4"/>
        <v>155</v>
      </c>
      <c r="M13" t="str">
        <f t="shared" si="5"/>
        <v>TGGAAACAGGCCCTGGGGCCACTGCTGCTGTGCTCCTTTTCCG</v>
      </c>
    </row>
    <row r="14" spans="1:13" x14ac:dyDescent="0.25">
      <c r="A14">
        <v>2061763</v>
      </c>
      <c r="B14" t="s">
        <v>19</v>
      </c>
      <c r="D14" t="str">
        <f t="shared" si="0"/>
        <v>2061763_</v>
      </c>
      <c r="E14" s="1" t="s">
        <v>70</v>
      </c>
      <c r="F14" t="s">
        <v>51</v>
      </c>
      <c r="G14" t="s">
        <v>58</v>
      </c>
      <c r="H14" t="s">
        <v>59</v>
      </c>
      <c r="I14" t="str">
        <f t="shared" si="1"/>
        <v>TGGGGCCTGAAGACCTGACTCTCCTCCAGCCCAGACACTGGTGAGGGTGGCCCTAATCTTTTGGAGAGAGGGATGTAGGTAGGAGGATAGGCCAGGACAAAGCGAGAGGGCTGAGGGTGTCTCCATGCGGTGGCAGCTGCTGTGCTCCTTTTCCG</v>
      </c>
      <c r="J14" t="str">
        <f t="shared" si="2"/>
        <v>CGGTG</v>
      </c>
      <c r="K14" t="str">
        <f t="shared" si="3"/>
        <v>GCTGC</v>
      </c>
      <c r="L14">
        <f t="shared" si="4"/>
        <v>155</v>
      </c>
      <c r="M14" t="str">
        <f t="shared" si="5"/>
        <v>GAGGGTGTCTCCATGCGGTGGCAGCTGCTGTGCTCCTTTTCCG</v>
      </c>
    </row>
    <row r="15" spans="1:13" x14ac:dyDescent="0.25">
      <c r="A15">
        <v>2061763</v>
      </c>
      <c r="B15" t="s">
        <v>19</v>
      </c>
      <c r="C15" t="s">
        <v>29</v>
      </c>
      <c r="D15" t="str">
        <f t="shared" si="0"/>
        <v>2061763_chr16:2061777-2061778:T&gt;C</v>
      </c>
      <c r="E15" s="1" t="s">
        <v>75</v>
      </c>
      <c r="F15" t="s">
        <v>40</v>
      </c>
      <c r="G15" t="s">
        <v>58</v>
      </c>
      <c r="H15" t="s">
        <v>59</v>
      </c>
      <c r="I15" t="str">
        <f t="shared" si="1"/>
        <v>TGGGGCCTGAAGACCTGACTCTCCTCCAGCCCAGACACTGGTGAGGGTGGCCCTAATCTTTTGGAGAGAGGGATGTAGGTAGGAGGATAGGCCAGGACAAAGCGAGAGGGCTGAGGGCGTCTCCATGCGGTGCGAGCTGCTGTGCTCCTTTTCCG</v>
      </c>
      <c r="J15" t="str">
        <f t="shared" si="2"/>
        <v>CGGTG</v>
      </c>
      <c r="K15" t="str">
        <f t="shared" si="3"/>
        <v>GCTGC</v>
      </c>
      <c r="L15">
        <f t="shared" si="4"/>
        <v>155</v>
      </c>
      <c r="M15" t="str">
        <f t="shared" si="5"/>
        <v>GAGGGCGTCTCCATGCGGTGCGAGCTGCTGTGCTCCTTTTCCG</v>
      </c>
    </row>
    <row r="16" spans="1:13" x14ac:dyDescent="0.25">
      <c r="A16">
        <v>2069387</v>
      </c>
      <c r="B16" t="s">
        <v>20</v>
      </c>
      <c r="D16" t="str">
        <f t="shared" si="0"/>
        <v>2069387_</v>
      </c>
      <c r="E16" s="1" t="s">
        <v>76</v>
      </c>
      <c r="F16" t="s">
        <v>52</v>
      </c>
      <c r="G16" t="s">
        <v>58</v>
      </c>
      <c r="H16" t="s">
        <v>59</v>
      </c>
      <c r="I16" t="str">
        <f t="shared" si="1"/>
        <v>TGGGGCCTGAAGACCTGACTCTCCTCCAGCCCAGACACTGGTGAGGGTGGCCCTAATCTTTTGGAGAGAGGGATGTAGGTAGGAGGATAGGCCAGGACAAAGCTTCACTGCAACCTCCGCCTCCTGGGTTCAGGAGCTGCTGTGCTCCTTTTCCG</v>
      </c>
      <c r="J16" t="str">
        <f t="shared" si="2"/>
        <v>GTTCA</v>
      </c>
      <c r="K16" t="str">
        <f t="shared" si="3"/>
        <v>GCTGC</v>
      </c>
      <c r="L16">
        <f t="shared" si="4"/>
        <v>155</v>
      </c>
      <c r="M16" t="str">
        <f t="shared" si="5"/>
        <v>ACCTCCGCCTCCTGGGTTCAGGAGCTGCTGTGCTCCTTTTCCG</v>
      </c>
    </row>
    <row r="17" spans="1:13" x14ac:dyDescent="0.25">
      <c r="A17">
        <v>2069387</v>
      </c>
      <c r="B17" t="s">
        <v>20</v>
      </c>
      <c r="C17" t="s">
        <v>30</v>
      </c>
      <c r="D17" t="str">
        <f t="shared" si="0"/>
        <v>2069387_chr16:2069401-2069402:C&gt;T</v>
      </c>
      <c r="E17" s="1" t="s">
        <v>77</v>
      </c>
      <c r="F17" t="s">
        <v>41</v>
      </c>
      <c r="G17" t="s">
        <v>58</v>
      </c>
      <c r="H17" t="s">
        <v>59</v>
      </c>
      <c r="I17" t="str">
        <f t="shared" si="1"/>
        <v>TGGGGCCTGAAGACCTGACTCTCCTCCAGCCCAGACACTGGTGAGGGTGGCCCTAATCTTTTGGAGAGAGGGATGTAGGTAGGAGGATAGGCCAGGACAAAGCTTCACTGCAACCTCTGCCTCCTGGGTTCAGATGCTGCTGTGCTCCTTTTCCG</v>
      </c>
      <c r="J17" t="str">
        <f t="shared" si="2"/>
        <v>GTTCA</v>
      </c>
      <c r="K17" t="str">
        <f t="shared" si="3"/>
        <v>GCTGC</v>
      </c>
      <c r="L17">
        <f t="shared" si="4"/>
        <v>155</v>
      </c>
      <c r="M17" t="str">
        <f t="shared" si="5"/>
        <v>ACCTCTGCCTCCTGGGTTCAGATGCTGCTGTGCTCCTTTTCCG</v>
      </c>
    </row>
    <row r="18" spans="1:13" x14ac:dyDescent="0.25">
      <c r="A18">
        <v>2072708</v>
      </c>
      <c r="B18" t="s">
        <v>21</v>
      </c>
      <c r="D18" t="str">
        <f t="shared" si="0"/>
        <v>2072708_</v>
      </c>
      <c r="E18" s="1" t="s">
        <v>69</v>
      </c>
      <c r="F18" t="s">
        <v>53</v>
      </c>
      <c r="G18" t="s">
        <v>58</v>
      </c>
      <c r="H18" t="s">
        <v>59</v>
      </c>
      <c r="I18" t="str">
        <f t="shared" si="1"/>
        <v>TGGGGCCTGAAGACCTGACTCTCCTCCAGCCCAGACACTGGTGAGGGTGGCCCTAATCTTTTGGAGAGAGGGATGTAGGTAGGAGGATAGGCCAGGACAAAGCTCCTGGGAGGGAGGCAAGAAGGCTCCCCATGCGCTGCTGTGCTCCTTTTCCG</v>
      </c>
      <c r="J18" t="str">
        <f t="shared" si="2"/>
        <v>CCCCA</v>
      </c>
      <c r="K18" t="str">
        <f t="shared" si="3"/>
        <v>GCTGC</v>
      </c>
      <c r="L18">
        <f t="shared" si="4"/>
        <v>155</v>
      </c>
      <c r="M18" t="str">
        <f t="shared" si="5"/>
        <v>GGAGGCAAGAAGGCTCCCCATGCGCTGCTGTGCTCCTTTTCCG</v>
      </c>
    </row>
    <row r="19" spans="1:13" x14ac:dyDescent="0.25">
      <c r="A19">
        <v>2072708</v>
      </c>
      <c r="B19" t="s">
        <v>21</v>
      </c>
      <c r="C19" t="s">
        <v>31</v>
      </c>
      <c r="D19" t="str">
        <f t="shared" si="0"/>
        <v>2072708_chr16:2072722-2072723:C&gt;T</v>
      </c>
      <c r="E19" s="1" t="s">
        <v>78</v>
      </c>
      <c r="F19" t="s">
        <v>42</v>
      </c>
      <c r="G19" t="s">
        <v>58</v>
      </c>
      <c r="H19" t="s">
        <v>59</v>
      </c>
      <c r="I19" t="str">
        <f t="shared" si="1"/>
        <v>TGGGGCCTGAAGACCTGACTCTCCTCCAGCCCAGACACTGGTGAGGGTGGCCCTAATCTTTTGGAGAGAGGGATGTAGGTAGGAGGATAGGCCAGGACAAAGCTCCTGGGAGGGAGGTAAGAAGGCTCCCCACTCGCTGCTGTGCTCCTTTTCCG</v>
      </c>
      <c r="J19" t="str">
        <f t="shared" si="2"/>
        <v>CCCCA</v>
      </c>
      <c r="K19" t="str">
        <f t="shared" si="3"/>
        <v>GCTGC</v>
      </c>
      <c r="L19">
        <f t="shared" si="4"/>
        <v>155</v>
      </c>
      <c r="M19" t="str">
        <f t="shared" si="5"/>
        <v>GGAGGTAAGAAGGCTCCCCACTCGCTGCTGTGCTCCTTTTCCG</v>
      </c>
    </row>
    <row r="20" spans="1:13" x14ac:dyDescent="0.25">
      <c r="A20">
        <v>2072735</v>
      </c>
      <c r="B20" t="s">
        <v>21</v>
      </c>
      <c r="D20" t="str">
        <f t="shared" si="0"/>
        <v>2072735_</v>
      </c>
      <c r="E20" s="1" t="s">
        <v>79</v>
      </c>
      <c r="F20" t="s">
        <v>54</v>
      </c>
      <c r="G20" t="s">
        <v>58</v>
      </c>
      <c r="H20" t="s">
        <v>59</v>
      </c>
      <c r="I20" t="str">
        <f t="shared" si="1"/>
        <v>TGGGGCCTGAAGACCTGACTCTCCTCCAGCCCAGACACTGGTGAGGGTGGCCCTAATCTTTTGGAGAGAGGGATGTAGGTAGGAGGATAGGCCAGGACAAAGCCAGCCCCTTTGCCCCCTTTCCTGGGCCTGCGTGTGCTGCTGTGCTCCTTTTCCG</v>
      </c>
      <c r="J20" t="str">
        <f t="shared" si="2"/>
        <v>CTGCG</v>
      </c>
      <c r="K20" t="str">
        <f t="shared" si="3"/>
        <v>GCTGC</v>
      </c>
      <c r="L20">
        <f t="shared" si="4"/>
        <v>157</v>
      </c>
      <c r="M20" t="str">
        <f t="shared" si="5"/>
        <v>CCCCCTTTCCTGGGCCTGCGTGTGCTGCTGTGCTCCTTTTCCG</v>
      </c>
    </row>
    <row r="21" spans="1:13" x14ac:dyDescent="0.25">
      <c r="A21">
        <v>2072735</v>
      </c>
      <c r="B21" t="s">
        <v>21</v>
      </c>
      <c r="C21" t="s">
        <v>32</v>
      </c>
      <c r="D21" t="str">
        <f t="shared" si="0"/>
        <v>2072735_chr16:2072749-2072752:CCT&gt;-</v>
      </c>
      <c r="E21" s="1" t="s">
        <v>80</v>
      </c>
      <c r="F21" t="s">
        <v>43</v>
      </c>
      <c r="G21" t="s">
        <v>58</v>
      </c>
      <c r="H21" t="s">
        <v>59</v>
      </c>
      <c r="I21" t="str">
        <f t="shared" si="1"/>
        <v>TGGGGCCTGAAGACCTGACTCTCCTCCAGCCCAGACACTGGTGAGGGTGGCCCTAATCTTTTGGAGAGAGGGATGTAGGTAGGAGGATAGGCCAGGACAAAGCCAGCCCCTTTGCCCTTCCTGGGCCTGCGACGGCTGCTGTGCTCCTTTTCCG</v>
      </c>
      <c r="J21" t="str">
        <f t="shared" si="2"/>
        <v>CTGCG</v>
      </c>
      <c r="K21" t="str">
        <f t="shared" si="3"/>
        <v>GCTGC</v>
      </c>
      <c r="L21">
        <f t="shared" si="4"/>
        <v>154</v>
      </c>
      <c r="M21" t="str">
        <f t="shared" si="5"/>
        <v>TTGCCCTTCCTGGGCCTGCGACGGCTGCTGTGCTCCTTTTCCG</v>
      </c>
    </row>
    <row r="22" spans="1:13" x14ac:dyDescent="0.25">
      <c r="A22">
        <v>2077461</v>
      </c>
      <c r="B22" t="s">
        <v>22</v>
      </c>
      <c r="D22" t="str">
        <f t="shared" si="0"/>
        <v>2077461_</v>
      </c>
      <c r="E22" s="1" t="s">
        <v>81</v>
      </c>
      <c r="F22" t="s">
        <v>55</v>
      </c>
      <c r="G22" t="s">
        <v>58</v>
      </c>
      <c r="H22" t="s">
        <v>59</v>
      </c>
      <c r="I22" t="str">
        <f t="shared" si="1"/>
        <v>TGGGGCCTGAAGACCTGACTCTCCTCCAGCCCAGACACTGGTGAGGGTGGCCCTAATCTTTTGGAGAGAGGGATGTAGGTAGGAGGATAGGCCAGGACAAAGCCTCATCTCACCCGCGGGATCTCTCCATCCTCAGCTGCTGTGCTCCTTTTCCG</v>
      </c>
      <c r="J22" t="str">
        <f t="shared" si="2"/>
        <v>CATCC</v>
      </c>
      <c r="K22" t="str">
        <f t="shared" si="3"/>
        <v>GCTGC</v>
      </c>
      <c r="L22">
        <f t="shared" si="4"/>
        <v>155</v>
      </c>
      <c r="M22" t="str">
        <f t="shared" si="5"/>
        <v>CCCGCGGGATCTCTCCATCCTCAGCTGCTGTGCTCCTTTTCCG</v>
      </c>
    </row>
    <row r="23" spans="1:13" x14ac:dyDescent="0.25">
      <c r="A23">
        <v>2077461</v>
      </c>
      <c r="B23" t="s">
        <v>22</v>
      </c>
      <c r="C23" t="s">
        <v>33</v>
      </c>
      <c r="D23" t="str">
        <f t="shared" si="0"/>
        <v>2077461_chr16:2077475-2077476:G&gt;A</v>
      </c>
      <c r="E23" s="1" t="s">
        <v>86</v>
      </c>
      <c r="F23" t="s">
        <v>44</v>
      </c>
      <c r="G23" t="s">
        <v>58</v>
      </c>
      <c r="H23" t="s">
        <v>59</v>
      </c>
      <c r="I23" t="str">
        <f t="shared" si="1"/>
        <v>TGGGGCCTGAAGACCTGACTCTCCTCCAGCCCAGACACTGGTGAGGGTGGCCCTAATCTTTTGGAGAGAGGGATGTAGGTAGGAGGATAGGCCAGGACAAAGCCTCATCTCACCCGCAGGATCTCTCCATCCATCGCTGCTGTGCTCCTTTTCCG</v>
      </c>
      <c r="J23" t="str">
        <f t="shared" si="2"/>
        <v>CATCC</v>
      </c>
      <c r="K23" t="str">
        <f t="shared" si="3"/>
        <v>GCTGC</v>
      </c>
      <c r="L23">
        <f t="shared" si="4"/>
        <v>155</v>
      </c>
      <c r="M23" t="str">
        <f t="shared" si="5"/>
        <v>CCCGCAGGATCTCTCCATCCATCGCTGCTGTGCTCCTTTTCCG</v>
      </c>
    </row>
    <row r="24" spans="1:13" x14ac:dyDescent="0.25">
      <c r="A24">
        <v>2083530</v>
      </c>
      <c r="B24" t="s">
        <v>23</v>
      </c>
      <c r="D24" t="str">
        <f t="shared" si="0"/>
        <v>2083530_</v>
      </c>
      <c r="E24" s="1" t="s">
        <v>82</v>
      </c>
      <c r="F24" t="s">
        <v>56</v>
      </c>
      <c r="G24" t="s">
        <v>58</v>
      </c>
      <c r="H24" t="s">
        <v>59</v>
      </c>
      <c r="I24" t="str">
        <f t="shared" si="1"/>
        <v>TGGGGCCTGAAGACCTGACTCTCCTCCAGCCCAGACACTGGTGAGGGTGGCCCTAATCTTTTGGAGAGAGGGATGTAGGTAGGAGGATAGGCCAGGACAAAGCCGTCCTCCCTGCCCGCTCGGTGGATGGCAGTGGCTGCTGTGCTCCTTTTCCG</v>
      </c>
      <c r="J24" t="str">
        <f t="shared" si="2"/>
        <v>TGGCA</v>
      </c>
      <c r="K24" t="str">
        <f t="shared" si="3"/>
        <v>GCTGC</v>
      </c>
      <c r="L24">
        <f t="shared" si="4"/>
        <v>155</v>
      </c>
      <c r="M24" t="str">
        <f t="shared" si="5"/>
        <v>TGCCCGCTCGGTGGATGGCAGTGGCTGCTGTGCTCCTTTTCCG</v>
      </c>
    </row>
    <row r="25" spans="1:13" x14ac:dyDescent="0.25">
      <c r="A25">
        <v>2083530</v>
      </c>
      <c r="B25" t="s">
        <v>23</v>
      </c>
      <c r="C25" t="s">
        <v>34</v>
      </c>
      <c r="D25" t="str">
        <f t="shared" si="0"/>
        <v>2083530_chr16:2083544-2083545:G&gt;A</v>
      </c>
      <c r="E25" s="1" t="s">
        <v>83</v>
      </c>
      <c r="F25" t="s">
        <v>45</v>
      </c>
      <c r="G25" t="s">
        <v>58</v>
      </c>
      <c r="H25" t="s">
        <v>59</v>
      </c>
      <c r="I25" t="str">
        <f t="shared" si="1"/>
        <v>TGGGGCCTGAAGACCTGACTCTCCTCCAGCCCAGACACTGGTGAGGGTGGCCCTAATCTTTTGGAGAGAGGGATGTAGGTAGGAGGATAGGCCAGGACAAAGCCGTCCTCCCTGCCCACTCGGTGGATGGCACAGGCTGCTGTGCTCCTTTTCCG</v>
      </c>
      <c r="J25" t="str">
        <f t="shared" si="2"/>
        <v>TGGCA</v>
      </c>
      <c r="K25" t="str">
        <f t="shared" si="3"/>
        <v>GCTGC</v>
      </c>
      <c r="L25">
        <f t="shared" si="4"/>
        <v>155</v>
      </c>
      <c r="M25" t="str">
        <f t="shared" si="5"/>
        <v>TGCCCACTCGGTGGATGGCACAGGCTGCTGTGCTCCTTTTCCG</v>
      </c>
    </row>
    <row r="26" spans="1:13" x14ac:dyDescent="0.25">
      <c r="A26">
        <v>2086608</v>
      </c>
      <c r="B26" t="s">
        <v>24</v>
      </c>
      <c r="D26" t="str">
        <f t="shared" si="0"/>
        <v>2086608_</v>
      </c>
      <c r="E26" s="1" t="s">
        <v>84</v>
      </c>
      <c r="F26" t="s">
        <v>57</v>
      </c>
      <c r="G26" t="s">
        <v>58</v>
      </c>
      <c r="H26" t="s">
        <v>59</v>
      </c>
      <c r="I26" t="str">
        <f t="shared" si="1"/>
        <v>TGGGGCCTGAAGACCTGACTCTCCTCCAGCCCAGACACTGGTGAGGGTGGCCCTAATCTTTTGGAGAGAGGGATGTAGGTAGGAGGATAGGCCAGGACAAAGCACCAGAGGACGTGGTCCCCGCAGGCCCCCCTAGCTGCTGTGCTCCTTTTCCG</v>
      </c>
      <c r="J26" t="str">
        <f t="shared" si="2"/>
        <v>CCCCC</v>
      </c>
      <c r="K26" t="str">
        <f t="shared" si="3"/>
        <v>GCTGC</v>
      </c>
      <c r="L26">
        <f t="shared" si="4"/>
        <v>155</v>
      </c>
      <c r="M26" t="str">
        <f t="shared" si="5"/>
        <v>CGTGGTCCCCGCAGGCCCCCCTAGCTGCTGTGCTCCTTTTCCG</v>
      </c>
    </row>
    <row r="27" spans="1:13" x14ac:dyDescent="0.25">
      <c r="A27">
        <v>2086608</v>
      </c>
      <c r="B27" t="s">
        <v>24</v>
      </c>
      <c r="C27" t="s">
        <v>35</v>
      </c>
      <c r="D27" t="str">
        <f t="shared" si="0"/>
        <v>2086608_chr16:2086622-2086623:T&gt;C</v>
      </c>
      <c r="E27" s="1" t="s">
        <v>85</v>
      </c>
      <c r="F27" t="s">
        <v>46</v>
      </c>
      <c r="G27" t="s">
        <v>58</v>
      </c>
      <c r="H27" t="s">
        <v>59</v>
      </c>
      <c r="I27" t="str">
        <f t="shared" si="1"/>
        <v>TGGGGCCTGAAGACCTGACTCTCCTCCAGCCCAGACACTGGTGAGGGTGGCCCTAATCTTTTGGAGAGAGGGATGTAGGTAGGAGGATAGGCCAGGACAAAGCACCAGAGGACGTGGCCCCCGCAGGCCCCCGCTGCTGCTGTGCTCCTTTTCCG</v>
      </c>
      <c r="J27" t="str">
        <f t="shared" si="2"/>
        <v>CCCCC</v>
      </c>
      <c r="K27" t="str">
        <f t="shared" si="3"/>
        <v>GCTGC</v>
      </c>
      <c r="L27">
        <f t="shared" si="4"/>
        <v>155</v>
      </c>
      <c r="M27" t="str">
        <f t="shared" si="5"/>
        <v>CGTGGCCCCCGCAGGCCCCCGCTGCTGCTGTGCTCCTTTTCCG</v>
      </c>
    </row>
  </sheetData>
  <sortState ref="A6:H27">
    <sortCondition ref="A6:A2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2018-12-20T06:47:42Z</dcterms:created>
  <dcterms:modified xsi:type="dcterms:W3CDTF">2019-05-30T09:18:12Z</dcterms:modified>
</cp:coreProperties>
</file>