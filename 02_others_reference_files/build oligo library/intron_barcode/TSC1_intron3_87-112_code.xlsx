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Dr. CLL\TSC mutant screening\Final sequence\3 ss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工作表1!$O$1:$O$139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3" i="1" l="1"/>
  <c r="P134" i="1"/>
  <c r="P135" i="1"/>
  <c r="P136" i="1"/>
  <c r="P137" i="1"/>
  <c r="P138" i="1"/>
  <c r="P139" i="1"/>
  <c r="P132" i="1"/>
  <c r="P121" i="1"/>
  <c r="P122" i="1"/>
  <c r="P123" i="1"/>
  <c r="P124" i="1"/>
  <c r="P125" i="1"/>
  <c r="P126" i="1"/>
  <c r="P127" i="1"/>
  <c r="P128" i="1"/>
  <c r="P129" i="1"/>
  <c r="P130" i="1"/>
  <c r="P131" i="1"/>
  <c r="P12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30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13" i="1"/>
  <c r="P3" i="1"/>
  <c r="P4" i="1"/>
  <c r="P5" i="1"/>
  <c r="P6" i="1"/>
  <c r="P7" i="1"/>
  <c r="P8" i="1"/>
  <c r="P9" i="1"/>
  <c r="P10" i="1"/>
  <c r="P11" i="1"/>
  <c r="P12" i="1"/>
  <c r="P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M2" i="1"/>
  <c r="L2" i="1"/>
  <c r="N2" i="1" s="1"/>
  <c r="K2" i="1"/>
  <c r="O2" i="1" s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2" i="1"/>
  <c r="K3" i="1" l="1"/>
  <c r="O3" i="1" s="1"/>
  <c r="K4" i="1"/>
  <c r="O4" i="1" s="1"/>
  <c r="K5" i="1"/>
  <c r="O5" i="1" s="1"/>
  <c r="K6" i="1"/>
  <c r="O6" i="1" s="1"/>
  <c r="K7" i="1"/>
  <c r="O7" i="1" s="1"/>
  <c r="K8" i="1"/>
  <c r="O8" i="1" s="1"/>
  <c r="K9" i="1"/>
  <c r="O9" i="1" s="1"/>
  <c r="K10" i="1"/>
  <c r="O10" i="1" s="1"/>
  <c r="K11" i="1"/>
  <c r="O11" i="1" s="1"/>
  <c r="K12" i="1"/>
  <c r="O12" i="1" s="1"/>
  <c r="K13" i="1"/>
  <c r="O13" i="1" s="1"/>
  <c r="K14" i="1"/>
  <c r="O14" i="1" s="1"/>
  <c r="K15" i="1"/>
  <c r="O15" i="1" s="1"/>
  <c r="K16" i="1"/>
  <c r="O16" i="1" s="1"/>
  <c r="K17" i="1"/>
  <c r="O17" i="1" s="1"/>
  <c r="K18" i="1"/>
  <c r="O18" i="1" s="1"/>
  <c r="K19" i="1"/>
  <c r="O19" i="1" s="1"/>
  <c r="K20" i="1"/>
  <c r="O20" i="1" s="1"/>
  <c r="K21" i="1"/>
  <c r="O21" i="1" s="1"/>
  <c r="K22" i="1"/>
  <c r="O22" i="1" s="1"/>
  <c r="K23" i="1"/>
  <c r="O23" i="1" s="1"/>
  <c r="K24" i="1"/>
  <c r="O24" i="1" s="1"/>
  <c r="K25" i="1"/>
  <c r="O25" i="1" s="1"/>
  <c r="K26" i="1"/>
  <c r="O26" i="1" s="1"/>
  <c r="K27" i="1"/>
  <c r="O27" i="1" s="1"/>
  <c r="K28" i="1"/>
  <c r="O28" i="1" s="1"/>
  <c r="K29" i="1"/>
  <c r="O29" i="1" s="1"/>
  <c r="K30" i="1"/>
  <c r="O30" i="1" s="1"/>
  <c r="K31" i="1"/>
  <c r="O31" i="1" s="1"/>
  <c r="K32" i="1"/>
  <c r="O32" i="1" s="1"/>
  <c r="K33" i="1"/>
  <c r="O33" i="1" s="1"/>
  <c r="K34" i="1"/>
  <c r="O34" i="1" s="1"/>
  <c r="K35" i="1"/>
  <c r="O35" i="1" s="1"/>
  <c r="K36" i="1"/>
  <c r="O36" i="1" s="1"/>
  <c r="K37" i="1"/>
  <c r="O37" i="1" s="1"/>
  <c r="K38" i="1"/>
  <c r="O38" i="1" s="1"/>
  <c r="K39" i="1"/>
  <c r="O39" i="1" s="1"/>
  <c r="K40" i="1"/>
  <c r="O40" i="1" s="1"/>
  <c r="K41" i="1"/>
  <c r="O41" i="1" s="1"/>
  <c r="K42" i="1"/>
  <c r="O42" i="1" s="1"/>
  <c r="K43" i="1"/>
  <c r="O43" i="1" s="1"/>
  <c r="K44" i="1"/>
  <c r="O44" i="1" s="1"/>
  <c r="K45" i="1"/>
  <c r="O45" i="1" s="1"/>
  <c r="K46" i="1"/>
  <c r="O46" i="1" s="1"/>
  <c r="K47" i="1"/>
  <c r="O47" i="1" s="1"/>
  <c r="K48" i="1"/>
  <c r="O48" i="1" s="1"/>
  <c r="K49" i="1"/>
  <c r="O49" i="1" s="1"/>
  <c r="K50" i="1"/>
  <c r="O50" i="1" s="1"/>
  <c r="K51" i="1"/>
  <c r="O51" i="1" s="1"/>
  <c r="K52" i="1"/>
  <c r="O52" i="1" s="1"/>
  <c r="K53" i="1"/>
  <c r="O53" i="1" s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O60" i="1" s="1"/>
  <c r="K61" i="1"/>
  <c r="O61" i="1" s="1"/>
  <c r="K62" i="1"/>
  <c r="O62" i="1" s="1"/>
  <c r="K63" i="1"/>
  <c r="O63" i="1" s="1"/>
  <c r="K64" i="1"/>
  <c r="O64" i="1" s="1"/>
  <c r="K65" i="1"/>
  <c r="O65" i="1" s="1"/>
  <c r="K66" i="1"/>
  <c r="O66" i="1" s="1"/>
  <c r="K67" i="1"/>
  <c r="O67" i="1" s="1"/>
  <c r="K68" i="1"/>
  <c r="O68" i="1" s="1"/>
  <c r="K69" i="1"/>
  <c r="O69" i="1" s="1"/>
  <c r="K70" i="1"/>
  <c r="O70" i="1" s="1"/>
  <c r="K71" i="1"/>
  <c r="O71" i="1" s="1"/>
  <c r="K72" i="1"/>
  <c r="O72" i="1" s="1"/>
  <c r="K73" i="1"/>
  <c r="O73" i="1" s="1"/>
  <c r="K74" i="1"/>
  <c r="O74" i="1" s="1"/>
  <c r="K75" i="1"/>
  <c r="O75" i="1" s="1"/>
  <c r="K76" i="1"/>
  <c r="O76" i="1" s="1"/>
  <c r="K77" i="1"/>
  <c r="O77" i="1" s="1"/>
  <c r="K78" i="1"/>
  <c r="O78" i="1" s="1"/>
  <c r="K79" i="1"/>
  <c r="O79" i="1" s="1"/>
  <c r="K80" i="1"/>
  <c r="O80" i="1" s="1"/>
  <c r="K81" i="1"/>
  <c r="O81" i="1" s="1"/>
  <c r="K82" i="1"/>
  <c r="O82" i="1" s="1"/>
  <c r="K83" i="1"/>
  <c r="O83" i="1" s="1"/>
  <c r="K84" i="1"/>
  <c r="O84" i="1" s="1"/>
  <c r="K85" i="1"/>
  <c r="O85" i="1" s="1"/>
  <c r="K86" i="1"/>
  <c r="O86" i="1" s="1"/>
  <c r="K87" i="1"/>
  <c r="O87" i="1" s="1"/>
  <c r="K88" i="1"/>
  <c r="O88" i="1" s="1"/>
  <c r="K89" i="1"/>
  <c r="O89" i="1" s="1"/>
  <c r="K90" i="1"/>
  <c r="O90" i="1" s="1"/>
  <c r="K91" i="1"/>
  <c r="O91" i="1" s="1"/>
  <c r="K92" i="1"/>
  <c r="O92" i="1" s="1"/>
  <c r="K93" i="1"/>
  <c r="O93" i="1" s="1"/>
  <c r="K94" i="1"/>
  <c r="O94" i="1" s="1"/>
  <c r="K95" i="1"/>
  <c r="O95" i="1" s="1"/>
  <c r="K96" i="1"/>
  <c r="O96" i="1" s="1"/>
  <c r="K97" i="1"/>
  <c r="O97" i="1" s="1"/>
  <c r="K98" i="1"/>
  <c r="O98" i="1" s="1"/>
  <c r="K99" i="1"/>
  <c r="O99" i="1" s="1"/>
  <c r="K100" i="1"/>
  <c r="O100" i="1" s="1"/>
  <c r="K101" i="1"/>
  <c r="O101" i="1" s="1"/>
  <c r="K102" i="1"/>
  <c r="O102" i="1" s="1"/>
  <c r="K103" i="1"/>
  <c r="O103" i="1" s="1"/>
  <c r="K104" i="1"/>
  <c r="O104" i="1" s="1"/>
  <c r="K105" i="1"/>
  <c r="O105" i="1" s="1"/>
  <c r="K106" i="1"/>
  <c r="O106" i="1" s="1"/>
  <c r="K107" i="1"/>
  <c r="O107" i="1" s="1"/>
  <c r="K108" i="1"/>
  <c r="O108" i="1" s="1"/>
  <c r="K109" i="1"/>
  <c r="O109" i="1" s="1"/>
  <c r="K110" i="1"/>
  <c r="O110" i="1" s="1"/>
  <c r="K111" i="1"/>
  <c r="O111" i="1" s="1"/>
  <c r="K112" i="1"/>
  <c r="O112" i="1" s="1"/>
  <c r="K113" i="1"/>
  <c r="O113" i="1" s="1"/>
  <c r="K114" i="1"/>
  <c r="O114" i="1" s="1"/>
  <c r="K115" i="1"/>
  <c r="O115" i="1" s="1"/>
  <c r="K116" i="1"/>
  <c r="O116" i="1" s="1"/>
  <c r="K117" i="1"/>
  <c r="O117" i="1" s="1"/>
  <c r="K118" i="1"/>
  <c r="O118" i="1" s="1"/>
  <c r="K119" i="1"/>
  <c r="O119" i="1" s="1"/>
  <c r="K120" i="1"/>
  <c r="O120" i="1" s="1"/>
  <c r="K121" i="1"/>
  <c r="O121" i="1" s="1"/>
  <c r="K122" i="1"/>
  <c r="O122" i="1" s="1"/>
  <c r="K123" i="1"/>
  <c r="O123" i="1" s="1"/>
  <c r="K124" i="1"/>
  <c r="O124" i="1" s="1"/>
  <c r="K125" i="1"/>
  <c r="O125" i="1" s="1"/>
  <c r="K126" i="1"/>
  <c r="O126" i="1" s="1"/>
  <c r="K127" i="1"/>
  <c r="O127" i="1" s="1"/>
  <c r="K128" i="1"/>
  <c r="O128" i="1" s="1"/>
  <c r="K129" i="1"/>
  <c r="O129" i="1" s="1"/>
  <c r="K130" i="1"/>
  <c r="O130" i="1" s="1"/>
  <c r="K131" i="1"/>
  <c r="O131" i="1" s="1"/>
  <c r="K132" i="1"/>
  <c r="O132" i="1" s="1"/>
  <c r="K133" i="1"/>
  <c r="O133" i="1" s="1"/>
  <c r="K134" i="1"/>
  <c r="O134" i="1" s="1"/>
  <c r="K135" i="1"/>
  <c r="O135" i="1" s="1"/>
  <c r="K136" i="1"/>
  <c r="O136" i="1" s="1"/>
  <c r="K137" i="1"/>
  <c r="O137" i="1" s="1"/>
  <c r="K138" i="1"/>
  <c r="O138" i="1" s="1"/>
  <c r="K139" i="1"/>
  <c r="O139" i="1" s="1"/>
  <c r="D44" i="1"/>
  <c r="D29" i="1"/>
  <c r="D28" i="1"/>
  <c r="D26" i="1"/>
  <c r="D22" i="1"/>
  <c r="D23" i="1"/>
  <c r="D21" i="1"/>
  <c r="D19" i="1"/>
  <c r="D18" i="1"/>
  <c r="D14" i="1"/>
  <c r="D15" i="1"/>
  <c r="D16" i="1"/>
  <c r="D17" i="1"/>
  <c r="D20" i="1"/>
  <c r="D24" i="1"/>
  <c r="D25" i="1"/>
  <c r="D27" i="1"/>
  <c r="D31" i="1"/>
  <c r="D32" i="1"/>
  <c r="D33" i="1"/>
  <c r="D34" i="1"/>
  <c r="D35" i="1"/>
  <c r="D36" i="1"/>
  <c r="D37" i="1"/>
  <c r="D38" i="1"/>
  <c r="D39" i="1"/>
  <c r="D40" i="1"/>
  <c r="D42" i="1"/>
  <c r="D43" i="1"/>
  <c r="D45" i="1"/>
  <c r="D46" i="1"/>
  <c r="D47" i="1"/>
  <c r="D48" i="1"/>
  <c r="D50" i="1"/>
  <c r="D51" i="1"/>
  <c r="D52" i="1"/>
  <c r="D53" i="1"/>
  <c r="D54" i="1"/>
  <c r="D55" i="1"/>
  <c r="D57" i="1"/>
  <c r="D58" i="1"/>
  <c r="D60" i="1"/>
  <c r="D61" i="1"/>
  <c r="D62" i="1"/>
  <c r="D63" i="1"/>
  <c r="D64" i="1"/>
  <c r="D65" i="1"/>
  <c r="D66" i="1"/>
  <c r="D67" i="1"/>
  <c r="D68" i="1"/>
  <c r="D70" i="1"/>
  <c r="D71" i="1"/>
  <c r="D72" i="1"/>
  <c r="D73" i="1"/>
  <c r="D74" i="1"/>
  <c r="D76" i="1"/>
  <c r="D77" i="1"/>
  <c r="D78" i="1"/>
  <c r="D79" i="1"/>
  <c r="D80" i="1"/>
  <c r="D82" i="1"/>
  <c r="D84" i="1"/>
  <c r="D85" i="1"/>
  <c r="D86" i="1"/>
  <c r="D87" i="1"/>
  <c r="D89" i="1"/>
  <c r="D90" i="1"/>
  <c r="D91" i="1"/>
  <c r="D93" i="1"/>
  <c r="D94" i="1"/>
  <c r="D95" i="1"/>
  <c r="D96" i="1"/>
  <c r="D98" i="1"/>
  <c r="D99" i="1"/>
  <c r="D100" i="1"/>
  <c r="D102" i="1"/>
  <c r="D103" i="1"/>
  <c r="D104" i="1"/>
  <c r="D105" i="1"/>
  <c r="D106" i="1"/>
  <c r="D108" i="1"/>
  <c r="D109" i="1"/>
  <c r="D111" i="1"/>
  <c r="D112" i="1"/>
  <c r="D113" i="1"/>
  <c r="D114" i="1"/>
  <c r="D116" i="1"/>
  <c r="D117" i="1"/>
  <c r="D118" i="1"/>
  <c r="D119" i="1"/>
  <c r="D121" i="1"/>
  <c r="D122" i="1"/>
  <c r="D123" i="1"/>
  <c r="D124" i="1"/>
  <c r="D125" i="1"/>
  <c r="D126" i="1"/>
  <c r="D127" i="1"/>
  <c r="D128" i="1"/>
  <c r="D129" i="1"/>
  <c r="D130" i="1"/>
  <c r="D131" i="1"/>
  <c r="D133" i="1"/>
  <c r="D134" i="1"/>
  <c r="D136" i="1"/>
  <c r="D137" i="1"/>
  <c r="D138" i="1"/>
  <c r="D139" i="1"/>
  <c r="D4" i="1"/>
  <c r="D5" i="1"/>
  <c r="D6" i="1"/>
  <c r="D7" i="1"/>
  <c r="D8" i="1"/>
  <c r="D10" i="1"/>
  <c r="D11" i="1"/>
  <c r="D12" i="1"/>
  <c r="D3" i="1"/>
</calcChain>
</file>

<file path=xl/sharedStrings.xml><?xml version="1.0" encoding="utf-8"?>
<sst xmlns="http://schemas.openxmlformats.org/spreadsheetml/2006/main" count="961" uniqueCount="369">
  <si>
    <t>chr9:132896734</t>
  </si>
  <si>
    <t>chr9:132897305</t>
  </si>
  <si>
    <t>chr9:132897590</t>
  </si>
  <si>
    <t>chr9:132900817</t>
  </si>
  <si>
    <t>chr9:132901679</t>
  </si>
  <si>
    <t>chr9:132902767</t>
  </si>
  <si>
    <t>chr9:132903797</t>
  </si>
  <si>
    <t>chr9:132904434</t>
  </si>
  <si>
    <t>chr9:132906119</t>
  </si>
  <si>
    <t>chr9:132906815</t>
  </si>
  <si>
    <t>chr9:132907350</t>
  </si>
  <si>
    <t>chr9:132910672</t>
  </si>
  <si>
    <t>chr9:132911093</t>
  </si>
  <si>
    <t>chr9:132911548</t>
  </si>
  <si>
    <t>chr9:132912437</t>
  </si>
  <si>
    <t>chr9:132921416</t>
  </si>
  <si>
    <t>chr9:132921953</t>
  </si>
  <si>
    <t>chr9:132925719</t>
  </si>
  <si>
    <t>chr9:132927284</t>
  </si>
  <si>
    <t>chr9:132928932</t>
  </si>
  <si>
    <t>V4</t>
  </si>
  <si>
    <t>chr9:132896761-132896762:T&gt;G</t>
  </si>
  <si>
    <t>chr9:132896763-132896764:T&gt;A</t>
  </si>
  <si>
    <t>chr9:132896771-132896772:T&gt;C</t>
  </si>
  <si>
    <t>chr9:132896787-132896788:C&gt;A</t>
  </si>
  <si>
    <t>chr9:132896796-132896797:G&gt;C</t>
  </si>
  <si>
    <t>chr9:132896807-132896808:G&gt;A</t>
  </si>
  <si>
    <t>chr9:132897351-132897352:C&gt;T</t>
  </si>
  <si>
    <t>chr9:132897353-132897354:A&gt;G</t>
  </si>
  <si>
    <t>chr9:132897371-132897372:A&gt;G</t>
  </si>
  <si>
    <t>chr9:132897610-132897611:G&gt;A</t>
  </si>
  <si>
    <t>chr9:132897611-132897612:A&gt;G</t>
  </si>
  <si>
    <t>chr9:132897612-132897613:C&gt;-</t>
  </si>
  <si>
    <t>chr9:132897612-132897613:C&gt;T</t>
  </si>
  <si>
    <t>chr9:132897612-132897612:-&gt;TT</t>
  </si>
  <si>
    <t>chr9:132897612-132897612:-&gt;TA</t>
  </si>
  <si>
    <t>chr9:132897612-132897612:-&gt;C</t>
  </si>
  <si>
    <t>chr9:132897612-132897612:-&gt;TC</t>
  </si>
  <si>
    <t>chr9:132897613-132897616:TTT&gt;-</t>
  </si>
  <si>
    <t>chr9:132897613-132897615:TT&gt;-</t>
  </si>
  <si>
    <t>chr9:132897613-132897614:T&gt;-</t>
  </si>
  <si>
    <t>chr9:132897613-132897614:T&gt;C</t>
  </si>
  <si>
    <t>chr9:132897613-132897613:-&gt;TC</t>
  </si>
  <si>
    <t>chr9:132897613-132897613:-&gt;T</t>
  </si>
  <si>
    <t>chr9:132897613-132897613:-&gt;TTT</t>
  </si>
  <si>
    <t>chr9:132897613-132897613:-&gt;TT</t>
  </si>
  <si>
    <t>chr9:132900837-132900838:G&gt;T</t>
  </si>
  <si>
    <t>chr9:132900837-132900838:G&gt;C</t>
  </si>
  <si>
    <t>chr9:132900837-132900838:G&gt;A</t>
  </si>
  <si>
    <t>chr9:132900838-132900839:A&gt;G</t>
  </si>
  <si>
    <t>chr9:132900838-132900839:A&gt;-</t>
  </si>
  <si>
    <t>chr9:132900839-132900840:T&gt;C</t>
  </si>
  <si>
    <t>chr9:132900851-132900852:A&gt;G</t>
  </si>
  <si>
    <t>chr9:132900857-132900858:T&gt;C</t>
  </si>
  <si>
    <t>chr9:132900871-132900872:T&gt;C</t>
  </si>
  <si>
    <t>chr9:132900873-132900874:C&gt;T</t>
  </si>
  <si>
    <t>chr9:132901699-132901700:G&gt;A</t>
  </si>
  <si>
    <t>chr9:132901703-132901704:G&gt;A</t>
  </si>
  <si>
    <t>chr9:132901705-132901707:TT&gt;-</t>
  </si>
  <si>
    <t>chr9:132901705-132901706:T&gt;C</t>
  </si>
  <si>
    <t>chr9:132901712-132901713:G&gt;A</t>
  </si>
  <si>
    <t>chr9:132901714-132901715:A&gt;G</t>
  </si>
  <si>
    <t>chr9:132901733-132901734:T&gt;C</t>
  </si>
  <si>
    <t>chr9:132902789-132902790:T&gt;C</t>
  </si>
  <si>
    <t>chr9:132902795-132902796:C&gt;T</t>
  </si>
  <si>
    <t>chr9:132902795-132902796:C&gt;G</t>
  </si>
  <si>
    <t>chr9:132902797-132902798:G&gt;T</t>
  </si>
  <si>
    <t>chr9:132902800-132902801:C&gt;T</t>
  </si>
  <si>
    <t>chr9:132902821-132902822:A&gt;G</t>
  </si>
  <si>
    <t>chr9:132903818-132903819:A&gt;G</t>
  </si>
  <si>
    <t>chr9:132903821-132903822:A&gt;G</t>
  </si>
  <si>
    <t>chr9:132904454-132904455:G&gt;T</t>
  </si>
  <si>
    <t>chr9:132904454-132904455:G&gt;C</t>
  </si>
  <si>
    <t>chr9:132904454-132904455:G&gt;A</t>
  </si>
  <si>
    <t>chr9:132904455-132904456:A&gt;G</t>
  </si>
  <si>
    <t>chr9:132904455-132904456:A&gt;T</t>
  </si>
  <si>
    <t>chr9:132904472-132904473:T&gt;G</t>
  </si>
  <si>
    <t>chr9:132904499-132904500:T&gt;-</t>
  </si>
  <si>
    <t>chr9:132904506-132904507:G&gt;A</t>
  </si>
  <si>
    <t>chr9:132904507-132904508:C&gt;T</t>
  </si>
  <si>
    <t>chr9:132906139-132906140:G&gt;A</t>
  </si>
  <si>
    <t>chr9:132906140-132906141:A&gt;T</t>
  </si>
  <si>
    <t>chr9:132906140-132906141:A&gt;G</t>
  </si>
  <si>
    <t>chr9:132906140-132906141:A&gt;C</t>
  </si>
  <si>
    <t>chr9:132906142-132906143:T&gt;C</t>
  </si>
  <si>
    <t>chr9:132906148-132906149:T&gt;A</t>
  </si>
  <si>
    <t>chr9:132906151-132906152:C&gt;T</t>
  </si>
  <si>
    <t>chr9:132906159-132906160:T&gt;-</t>
  </si>
  <si>
    <t>chr9:132906163-132906164:C&gt;A</t>
  </si>
  <si>
    <t>chr9:132906175-132906176:C&gt;T</t>
  </si>
  <si>
    <t>chr9:132906889-132906890:C&gt;G</t>
  </si>
  <si>
    <t>chr9:132907370-132907371:G&gt;A</t>
  </si>
  <si>
    <t>chr9:132907375-132907376:T&gt;A</t>
  </si>
  <si>
    <t>chr9:132907378-132907379:T&gt;C</t>
  </si>
  <si>
    <t>chr9:132907381-132907382:T&gt;C</t>
  </si>
  <si>
    <t>chr9:132910700-132910701:G&gt;A</t>
  </si>
  <si>
    <t>chr9:132910712-132910714:AT&gt;-</t>
  </si>
  <si>
    <t>chr9:132910724-132910725:A&gt;G</t>
  </si>
  <si>
    <t>chr9:132911113-132911114:G&gt;A</t>
  </si>
  <si>
    <t>chr9:132911115-132911116:C&gt;G</t>
  </si>
  <si>
    <t>chr9:132911121-132911122:A&gt;G</t>
  </si>
  <si>
    <t>chr9:132911126-132911127:T&gt;A</t>
  </si>
  <si>
    <t>chr9:132911569-132911570:A&gt;G</t>
  </si>
  <si>
    <t>chr9:132911577-132911578:T&gt;C</t>
  </si>
  <si>
    <t>chr9:132911585-132911586:T&gt;C</t>
  </si>
  <si>
    <t>chr9:132912457-132912458:G&gt;A</t>
  </si>
  <si>
    <t>chr9:132912458-132912459:A&gt;T</t>
  </si>
  <si>
    <t>chr9:132912458-132912459:A&gt;G</t>
  </si>
  <si>
    <t>chr9:132912466-132912467:C&gt;A</t>
  </si>
  <si>
    <t>chr9:132912476-132912477:A&gt;G</t>
  </si>
  <si>
    <t>chr9:132921436-132921437:G&gt;C</t>
  </si>
  <si>
    <t>chr9:132921436-132921437:G&gt;A</t>
  </si>
  <si>
    <t>chr9:132921444-132921445:C&gt;G</t>
  </si>
  <si>
    <t>chr9:132921445-132921446:A&gt;C</t>
  </si>
  <si>
    <t>chr9:132921450-132921451:A&gt;G</t>
  </si>
  <si>
    <t>chr9:132921461-132921462:A&gt;-</t>
  </si>
  <si>
    <t>chr9:132921973-132921974:G&gt;A</t>
  </si>
  <si>
    <t>chr9:132921973-132921974:G&gt;C</t>
  </si>
  <si>
    <t>chr9:132921982-132921983:C&gt;T</t>
  </si>
  <si>
    <t>chr9:132921987-132921988:G&gt;A</t>
  </si>
  <si>
    <t>chr9:132925739-132925740:G&gt;T</t>
  </si>
  <si>
    <t>chr9:132925739-132925740:G&gt;A</t>
  </si>
  <si>
    <t>chr9:132925740-132925741:A&gt;C</t>
  </si>
  <si>
    <t>chr9:132925740-132925741:A&gt;G</t>
  </si>
  <si>
    <t>chr9:132925741-132925742:C&gt;T</t>
  </si>
  <si>
    <t>chr9:132925741-132925742:C&gt;A</t>
  </si>
  <si>
    <t>chr9:132925745-132925746:T&gt;G</t>
  </si>
  <si>
    <t>chr9:132925748-132925749:A&gt;-</t>
  </si>
  <si>
    <t>chr9:132925749-132925749:-&gt;T</t>
  </si>
  <si>
    <t>chr9:132925753-132925754:C&gt;G</t>
  </si>
  <si>
    <t>chr9:132925754-132925755:T&gt;C</t>
  </si>
  <si>
    <t>chr9:132927304-132927305:G&gt;A</t>
  </si>
  <si>
    <t>chr9:132927305-132927306:A&gt;G</t>
  </si>
  <si>
    <t>chr9:132928956-132928957:C&gt;T</t>
  </si>
  <si>
    <t>chr9:132928961-132928962:T&gt;C</t>
  </si>
  <si>
    <t>chr9:132929002-132929003:T&gt;-</t>
  </si>
  <si>
    <t>chr9:132929006-132929007:T&gt;C</t>
  </si>
  <si>
    <t>ref_num</t>
  </si>
  <si>
    <t>V10</t>
  </si>
  <si>
    <t>uc004cca.3_intron_0_0_chr9_132896755_r</t>
  </si>
  <si>
    <t>uc004cca.3_intron_1_0_chr9_132897346_r</t>
  </si>
  <si>
    <t>uc004cca.3_intron_2_0_chr9_132897611_r</t>
  </si>
  <si>
    <t>uc004cca.3_intron_3_0_chr9_132900838_r</t>
  </si>
  <si>
    <t>uc004cca.3_intron_4_0_chr9_132901700_r</t>
  </si>
  <si>
    <t>uc004cca.3_intron_5_0_chr9_132902788_r</t>
  </si>
  <si>
    <t>uc004cca.3_intron_6_0_chr9_132903818_r</t>
  </si>
  <si>
    <t>uc004cca.3_intron_7_0_chr9_132904455_r</t>
  </si>
  <si>
    <t>uc004cca.3_intron_8_0_chr9_132906140_r</t>
  </si>
  <si>
    <t>uc004cca.3_intron_9_0_chr9_132906836_r</t>
  </si>
  <si>
    <t>uc004cca.3_intron_10_0_chr9_132907371_r</t>
  </si>
  <si>
    <t>uc004cca.3_intron_11_0_chr9_132910693_r</t>
  </si>
  <si>
    <t>uc004cca.3_intron_12_0_chr9_132911114_r</t>
  </si>
  <si>
    <t>uc004cca.3_intron_13_0_chr9_132911569_r</t>
  </si>
  <si>
    <t>uc004cca.3_intron_14_0_chr9_132912458_r</t>
  </si>
  <si>
    <t>uc004cca.3_intron_15_0_chr9_132921437_r</t>
  </si>
  <si>
    <t>uc004cca.3_intron_16_0_chr9_132921974_r</t>
  </si>
  <si>
    <t>uc004cca.3_intron_18_0_chr9_132925740_r</t>
  </si>
  <si>
    <t>uc004cca.3_intron_19_0_chr9_132927305_r</t>
  </si>
  <si>
    <t>uc064wsw.1_intron_2_0_chr9_132928953_r</t>
  </si>
  <si>
    <t>chr9:132902767</t>
    <phoneticPr fontId="1" type="noConversion"/>
  </si>
  <si>
    <t>wt</t>
    <phoneticPr fontId="1" type="noConversion"/>
  </si>
  <si>
    <t>chr9:132906147-132906159:GTTTCCTCTCTT&gt;-</t>
    <phoneticPr fontId="1" type="noConversion"/>
  </si>
  <si>
    <t>GTTTCCTCTCTT&gt;-</t>
  </si>
  <si>
    <t>chr9:132921439-132921441:TC&gt;G</t>
    <phoneticPr fontId="1" type="noConversion"/>
  </si>
  <si>
    <t>TC&gt;G</t>
  </si>
  <si>
    <t>Name</t>
    <phoneticPr fontId="1" type="noConversion"/>
  </si>
  <si>
    <t>wt</t>
    <phoneticPr fontId="1" type="noConversion"/>
  </si>
  <si>
    <t>wt</t>
    <phoneticPr fontId="1" type="noConversion"/>
  </si>
  <si>
    <t>uc004cca.3_intron_10_0_chr9_132907371_r</t>
    <phoneticPr fontId="1" type="noConversion"/>
  </si>
  <si>
    <t>uc004cca.3_intron_10_0_chr9_132907371_r</t>
    <phoneticPr fontId="1" type="noConversion"/>
  </si>
  <si>
    <t>Barcode</t>
    <phoneticPr fontId="1" type="noConversion"/>
  </si>
  <si>
    <t>AC</t>
  </si>
  <si>
    <t>AG</t>
  </si>
  <si>
    <t>AT</t>
  </si>
  <si>
    <t>CA</t>
  </si>
  <si>
    <t>CG</t>
  </si>
  <si>
    <t>CT</t>
  </si>
  <si>
    <t>GA</t>
  </si>
  <si>
    <t>GC</t>
  </si>
  <si>
    <t>AGC</t>
  </si>
  <si>
    <t>AGT</t>
  </si>
  <si>
    <t>ATA</t>
  </si>
  <si>
    <t>GT</t>
  </si>
  <si>
    <t>TA</t>
  </si>
  <si>
    <t>TC</t>
  </si>
  <si>
    <t>TCAGTGTGAGTGAGTGTCAGTGTAATTCCACATCCTCCGAATGTGGACAGTCCAATCACCAGCTCCTTTTTTCCTCCCCGGCTTTCTTACAGGCTTGACTGTTGTAATGACG</t>
  </si>
  <si>
    <t>wt_alt_112</t>
    <phoneticPr fontId="1" type="noConversion"/>
  </si>
  <si>
    <t>TCAGTGTGAGTGAGTGTCAGTGTAATTCCACATCCTCCGAATGTGGACAGTCCAATCACCAGCTCCTTTTTTCCTCCCCGGCTTGCTTACAGGCTTGACTGTTGTAATGACG</t>
  </si>
  <si>
    <t>TCAGTGTGAGTGAGTGTCAGTGTAATTCCACATCCTCCGAATGTGGACAGTCCAATCACCAGCTCCTTTTTTCCTCCCCGGCATTCTTACAGGCTTGACTGTTGTAATGACG</t>
  </si>
  <si>
    <t>TCAGTGTGAGTGAGTGTCAGTGTAATTCCACATCCTCCGAATGTGGACAGTCCAATCACCAGCTCCTTTTTTCCCCCCCGGCTTTCTTACAGGCTTGACTGTTGTAATGACG</t>
  </si>
  <si>
    <t>TCAGTGTGAGTGAGTGTCAGTGTAATTCCACATCCTCCGAATGTGGACAGTCCAATCAACAGCTCCTTTTTTCCTCCCCGGCTTTCTTACAGGCTTGACTGTTGTAATGACG</t>
  </si>
  <si>
    <t>TCAGTGTGAGTGAGTGTCAGTGTAATTCCACATCCTCCGAATGTGGACACTCCAATCACCAGCTCCTTTTTTCCTCCCCGGCTTTCTTACAGGCTTGACTGTTGTAATGACG</t>
  </si>
  <si>
    <t>TCAGTGTGAGTGAGTGTCAGTGTAATTCCACATCCTCCAAATGTGGACAGTCCAATCACCAGCTCCTTTTTTCCTCCCCGGCTTTCTTACAGGCTTGACTGTTGTAATGACG</t>
  </si>
  <si>
    <t>TTTCATCAGGAAAGGCTTTTGTGTTTTTATTAAGTGGAACTTCCTATATTCTGGCTGGTCTGTATCTTTCAGAGGACAGCTGCAGGCCGCAGAGAGCAGGTATGAGGCTCAG</t>
  </si>
  <si>
    <t>TTTCATCAGGAAAGGCTTTTGTGTTTTTATTAAGTGGAACTTCCTATATTCTGGCTGGTCTGTATTTTTCAGAGGACAGCTGCAGGCCGCAGAGAGCAGGTATGAGGCTCAG</t>
  </si>
  <si>
    <t>TTTCATCAGGAAAGGCTTTTGTGTTTTTATTAAGTGGAACTTCCTATATTCTGGCTGGTCTGTGTCTTTCAGAGGACAGCTGCAGGCCGCAGAGAGCAGGTATGAGGCTCAG</t>
  </si>
  <si>
    <t>TTTCATCAGGAAAGGCTTTTGTGTTTTTATTAAGTGGAACTTCCTGTATTCTGGCTGGTCTGTATCTTTCAGAGGACAGCTGCAGGCCGCAGAGAGCAGGTATGAGGCTCAG</t>
  </si>
  <si>
    <t>TCAGTCCTTCTTACATTGTCTTTTCAAAATGGATACAGCATGTTTATTTTTTATAAGTACTAATTCCAGTCTTTTTTTTTTTTTTTTTTCAGGAAGTAGAAATGATGAAAGC</t>
  </si>
  <si>
    <t>TCAGTCCTTCTTACATTGTCTTTTCAAAATGGATACAGCATGTTTATTTTTTATAAGTACTAATTCCAGTCTTTTTTTTTTTTTTTTTTCAAGAAGTAGAAATGATGAAAGC</t>
  </si>
  <si>
    <t>TCAGTCCTTCTTACATTGTCTTTTCAAAATGGATACAGCATGTTTATTTTTTATAAGTACTAATTCCAGTCTTTTTTTTTTTTTTTTTTCGGGAAGTAGAAATGATGAAAGC</t>
  </si>
  <si>
    <t>TCAGTCCTTCTTACATTGTCTTTTCAAAATGGATACAGCATGTTTATTTTTTATAAGTACTAATTCCAGTCTTTTTTTTTTTTTTTTTTAGGAAGTAGAAATGATGAAAGC</t>
  </si>
  <si>
    <t>TCAGTCCTTCTTACATTGTCTTTTCAAAATGGATACAGCATGTTTATTTTTTATAAGTACTAATTCCAGTCTTTTTTTTTTTTTTTTTTTAGGAAGTAGAAATGATGAAAGC</t>
  </si>
  <si>
    <t>TCAGTCCTTCTTACATTGTCTTTTCAAAATGGATACAGCATGTTTATTTTTTATAAGTACTAATTCCAGTCTTTTTTTTTTTTTTTTTTCTTAGGAAGTAGAAATGATGAAAGC</t>
  </si>
  <si>
    <t>TCAGTCCTTCTTACATTGTCTTTTCAAAATGGATACAGCATGTTTATTTTTTATAAGTACTAATTCCAGTCTTTTTTTTTTTTTTTTTTCTAAGGAAGTAGAAATGATGAAAGC</t>
  </si>
  <si>
    <t>TCAGTCCTTCTTACATTGTCTTTTCAAAATGGATACAGCATGTTTATTTTTTATAAGTACTAATTCCAGTCTTTTTTTTTTTTTTTTTTCCAGGAAGTAGAAATGATGAAAGC</t>
  </si>
  <si>
    <t>TCAGTCCTTCTTACATTGTCTTTTCAAAATGGATACAGCATGTTTATTTTTTATAAGTACTAATTCCAGTCTTTTTTTTTTTTTTTTTTCTCAGGAAGTAGAAATGATGAAAGC</t>
  </si>
  <si>
    <t>TCAGTCCTTCTTACATTGTCTTTTCAAAATGGATACAGCATGTTTATTTTTTATAAGTACTAATTCCAGTCTTTTTTTTTTTTTTTCAGGAAGTAGAAATGATGAAAGC</t>
  </si>
  <si>
    <t>TCAGTCCTTCTTACATTGTCTTTTCAAAATGGATACAGCATGTTTATTTTTTATAAGTACTAATTCCAGTCTTTTTTTTTTTTTTTTCAGGAAGTAGAAATGATGAAAGC</t>
  </si>
  <si>
    <t>TCAGTCCTTCTTACATTGTCTTTTCAAAATGGATACAGCATGTTTATTTTTTATAAGTACTAATTCCAGTCTTTTTTTTTTTTTTTTTCAGGAAGTAGAAATGATGAAAGC</t>
  </si>
  <si>
    <t>TCAGTCCTTCTTACATTGTCTTTTCAAAATGGATACAGCATGTTTATTTTTTATAAGTACTAATTCCAGTCTTTTTTTTTTTTTTTTTCCAGGAAGTAGAAATGATGAAAGC</t>
  </si>
  <si>
    <t>TCAGTCCTTCTTACATTGTCTTTTCAAAATGGATACAGCATGTTTATTTTTTATAAGTACTAATTCCAGTCTTTTTTTTTTTTTTTTTTTCCAGGAAGTAGAAATGATGAAAGC</t>
  </si>
  <si>
    <t>TCAGTCCTTCTTACATTGTCTTTTCAAAATGGATACAGCATGTTTATTTTTTATAAGTACTAATTCCAGTCTTTTTTTTTTTTTTTTTTTCAGGAAGTAGAAATGATGAAAGC</t>
  </si>
  <si>
    <t>TCAGTCCTTCTTACATTGTCTTTTCAAAATGGATACAGCATGTTTATTTTTTATAAGTACTAATTCCAGTCTTTTTTTTTTTTTTTTTTTTTCAGGAAGTAGAAATGATGAAAGC</t>
  </si>
  <si>
    <t>TCAGTCCTTCTTACATTGTCTTTTCAAAATGGATACAGCATGTTTATTTTTTATAAGTACTAATTCCAGTCTTTTTTTTTTTTTTTTTTTTCAGGAAGTAGAAATGATGAAAGC</t>
  </si>
  <si>
    <t>TAGTGTGCTCCTAGCTGATTCCCTGTTTAATGACGTCTATGTGCTAGTTTTATGTCGTCGGATTTTTCACTTTGCTCATGTTTTTTGGTTAGCTCTCAAACAGTGAGTCGGT</t>
  </si>
  <si>
    <t>TAGTGTGCTCCTAGCTGATTCCCTGTTTAATGACGTCTATGTGCTAGTTTTATGTCGTCGGATTTTTCACTTTGCTCATGTTTTTTGGTTATCTCTCAAACAGTGAGTCGGT</t>
  </si>
  <si>
    <t>TAGTGTGCTCCTAGCTGATTCCCTGTTTAATGACGTCTATGTGCTAGTTTTATGTCGTCGGATTTTTCACTTTGCTCATGTTTTTTGGTTACCTCTCAAACAGTGAGTCGGT</t>
  </si>
  <si>
    <t>TAGTGTGCTCCTAGCTGATTCCCTGTTTAATGACGTCTATGTGCTAGTTTTATGTCGTCGGATTTTTCACTTTGCTCATGTTTTTTGGTTAACTCTCAAACAGTGAGTCGGT</t>
  </si>
  <si>
    <t>TAGTGTGCTCCTAGCTGATTCCCTGTTTAATGACGTCTATGTGCTAGTTTTATGTCGTCGGATTTTTCACTTTGCTCATGTTTTTTGGTTGGCTCTCAAACAGTGAGTCGGT</t>
  </si>
  <si>
    <t>TAGTGTGCTCCTAGCTGATTCCCTGTTTAATGACGTCTATGTGCTAGTTTTATGTCGTCGGATTTTTCACTTTGCTCATGTTTTTTGGTTGCTCTCAAACAGTGAGTCGGT</t>
  </si>
  <si>
    <t>TAGTGTGCTCCTAGCTGATTCCCTGTTTAATGACGTCTATGTGCTAGTTTTATGTCGTCGGATTTTTCACTTTGCTCATGTTTTTTGGTCAGCTCTCAAACAGTGAGTCGGT</t>
  </si>
  <si>
    <t>TAGTGTGCTCCTAGCTGATTCCCTGTTTAATGACGTCTATGTGCTAGTTTTATGTCGTCGGATTTTTCACTTTGCTCGTGTTTTTTGGTTAGCTCTCAAACAGTGAGTCGGT</t>
  </si>
  <si>
    <t>TAGTGTGCTCCTAGCTGATTCCCTGTTTAATGACGTCTATGTGCTAGTTTTATGTCGTCGGATTTTTCACTCTGCTCATGTTTTTTGGTTAGCTCTCAAACAGTGAGTCGGT</t>
  </si>
  <si>
    <t>TAGTGTGCTCCTAGCTGATTCCCTGTTTAATGACGTCTATGTGCTAGTTTTATGTCGCCGGATTTTTCACTTTGCTCATGTTTTTTGGTTAGCTCTCAAACAGTGAGTCGGT</t>
  </si>
  <si>
    <t>TAGTGTGCTCCTAGCTGATTCCCTGTTTAATGACGTCTATGTGCTAGTTTTATGTTGTCGGATTTTTCACTTTGCTCATGTTTTTTGGTTAGCTCTCAAACAGTGAGTCGGT</t>
  </si>
  <si>
    <t>ATTCCCAGTCCTCTGTGGGCTGGTGGCTAGGTAGGCCTGTGATCTGGCCTGTTGGTGTTCCTCAAACTTCATGTCCACGTCTCTTTGGGCAGACGAAGCTGGAGGACTGCAG</t>
  </si>
  <si>
    <t>ATTCCCAGTCCTCTGTGGGCTGGTGGCTAGGTAGGCCTGTGATCTGGCCTGTTGGTGTTCCTCAAACTTCATGTCCACGTCTCTTTGGGCAAACGAAGCTGGAGGACTGCAG</t>
  </si>
  <si>
    <t>ATTCCCAGTCCTCTGTGGGCTGGTGGCTAGGTAGGCCTGTGATCTGGCCTGTTGGTGTTCCTCAAACTTCATGTCCACGTCTCTTTGAGCAGACGAAGCTGGAGGACTGCAG</t>
  </si>
  <si>
    <t>ATTCCCAGTCCTCTGTGGGCTGGTGGCTAGGTAGGCCTGTGATCTGGCCTGTTGGTGTTCCTCAAACTTCATGTCCACGTCTCTGGGCAGACGAAGCTGGAGGACTGCAG</t>
  </si>
  <si>
    <t>ATTCCCAGTCCTCTGTGGGCTGGTGGCTAGGTAGGCCTGTGATCTGGCCTGTTGGTGTTCCTCAAACTTCATGTCCACGTCTCTTCGGGCAGACGAAGCTGGAGGACTGCAG</t>
  </si>
  <si>
    <t>ATTCCCAGTCCTCTGTGGGCTGGTGGCTAGGTAGGCCTGTGATCTGGCCTGTTGGTGTTCCTCAAACTTCATGTCCACATCTCTTTGGGCAGACGAAGCTGGAGGACTGCAG</t>
  </si>
  <si>
    <t>ATTCCCAGTCCTCTGTGGGCTGGTGGCTAGGTAGGCCTGTGATCTGGCCTGTTGGTGTTCCTCAAACTTCATGTCCGCGTCTCTTTGGGCAGACGAAGCTGGAGGACTGCAG</t>
  </si>
  <si>
    <t>ATTCCCAGTCCTCTGTGGGCTGGTGGCTAGGTAGGCCTGTGATCTGGCCTGTTGGTGCTCCTCAAACTTCATGTCCACGTCTCTTTGGGCAGACGAAGCTGGAGGACTGCAG</t>
  </si>
  <si>
    <t>CTTATGACTATTCAGATGAAATGTTCGCAGTGTGTGTTAAATTGCCTGTGTTGGAAGACAGCTAAAATGATGACATTTCTGGTCTCTGCTAGAAAGATCAGTTGAAGTTACA</t>
  </si>
  <si>
    <t>CTTATGACTATTCAGATGAAATGTTCGCAGTGTGTGTTAAATTGCCTGTGTTGGAAGACAGCTAAAATGATGACATTTCTGGTCTCTGCCAGAAAGATCAGTTGAAGTTACA</t>
  </si>
  <si>
    <t>CTTATGACTATTCAGATGAAATGTTCGCAGTGTGTGTTAAATTGCCTGTGTTGGAAGACAGCTAAAATGATGACATTTCTGGTTTCTGCTAGAAAGATCAGTTGAAGTTACA</t>
  </si>
  <si>
    <t>CTTATGACTATTCAGATGAAATGTTCGCAGTGTGTGTTAAATTGCCTGTGTTGGAAGACAGCTAAAATGATGACATTTCTGGTGTCTGCTAGAAAGATCAGTTGAAGTTACA</t>
  </si>
  <si>
    <t>CTTATGACTATTCAGATGAAATGTTCGCAGTGTGTGTTAAATTGCCTGTGTTGGAAGACAGCTAAAATGATGACATTTCTGTTCTCTGCTAGAAAGATCAGTTGAAGTTACA</t>
  </si>
  <si>
    <t>CTTATGACTATTCAGATGAAATGTTCGCAGTGTGTGTTAAATTGCCTGTGTTGGAAGACAGCTAAAATGATGACATTTTTGGTCTCTGCTAGAAAGATCAGTTGAAGTTACA</t>
  </si>
  <si>
    <t>CTTATGACTATTCAGATGAAATGTTCGCAGTGTGTGTTAAATTGCCTGTGTTGGAAGGCAGCTAAAATGATGACATTTCTGGTCTCTGCTAGAAAGATCAGTTGAAGTTACA</t>
  </si>
  <si>
    <t>GTGTTTGTTAAGCTAACAACACATGGGAAGGGGGCTTGATTGAACCATCTGTAAAAGGCATTTCTGCCACCCTCCCTCTGCTTTACAATCAGGCTCTCCTCCTTCAGATGAG</t>
  </si>
  <si>
    <t>GTGTTTGTTAAGCTAACAACACATGGGAAGGGGGCTTGATTGAACCATCTGTAAAAGGCATTTCTGCCACCCTCCCTCTGCTTTACAATCGGGCTCTCCTCCTTCAGATGAG</t>
  </si>
  <si>
    <t>GTGTTTGTTAAGCTAACAACACATGGGAAGGGGGCTTGATTGAACCATCTGTAAAAGGCATTTCTGCCACCCTCCCTCTGCTTTACAGTCAGGCTCTCCTCCTTCAGATGAG</t>
  </si>
  <si>
    <t>GAAGTGATCTAACTTTGCTGCAAATAAAAGTCCAGATACGTTTTTTTCTTGGTAAGATCGGTAACTTTGTTACTCAAAAACTTTCTTCCTAGGTTGCCTTTACCCAGCAAGT</t>
  </si>
  <si>
    <t>GAAGTGATCTAACTTTGCTGCAAATAAAAGTCCAGATACGTTTTTTTCTTGGTAAGATCGGTAACTTTGTTACTCAAAAACTTTCTTCCTATGTTGCCTTTACCCAGCAAGT</t>
  </si>
  <si>
    <t>GAAGTGATCTAACTTTGCTGCAAATAAAAGTCCAGATACGTTTTTTTCTTGGTAAGATCGGTAACTTTGTTACTCAAAAACTTTCTTCCTACGTTGCCTTTACCCAGCAAGT</t>
  </si>
  <si>
    <t>GAAGTGATCTAACTTTGCTGCAAATAAAAGTCCAGATACGTTTTTTTCTTGGTAAGATCGGTAACTTTGTTACTCAAAAACTTTCTTCCTAAGTTGCCTTTACCCAGCAAGT</t>
  </si>
  <si>
    <t>GAAGTGATCTAACTTTGCTGCAAATAAAAGTCCAGATACGTTTTTTTCTTGGTAAGATCGGTAACTTTGTTACTCAAAAACTTTCTTCCTGGGTTGCCTTTACCCAGCAAGT</t>
  </si>
  <si>
    <t>GAAGTGATCTAACTTTGCTGCAAATAAAAGTCCAGATACGTTTTTTTCTTGGTAAGATCGGTAACTTTGTTACTCAAAAACTTTCTTCCTTGGTTGCCTTTACCCAGCAAGT</t>
  </si>
  <si>
    <t>GAAGTGATCTAACTTTGCTGCAAATAAAAGTCCAGATACGTTTTTTTCTTGGTAAGATCGGTAACTTTGTTACGCAAAAACTTTCTTCCTAGGTTGCCTTTACCCAGCAAGT</t>
  </si>
  <si>
    <t>GAAGTGATCTAACTTTGCTGCAAATAAAAGTCCAGATACGTTTTTTCTTGGTAAGATCGGTAACTTTGTTACTCAAAAACTTTCTTCCTAGGTTGCCTTTACCCAGCAAGT</t>
  </si>
  <si>
    <t>GAAGTGATCTAACTTTGCTGCAAATAAAAGTCCAGATACATTTTTTTCTTGGTAAGATCGGTAACTTTGTTACTCAAAAACTTTCTTCCTAGGTTGCCTTTACCCAGCAAGT</t>
  </si>
  <si>
    <t>GAAGTGATCTAACTTTGCTGCAAATAAAAGTCCAGATATGTTTTTTTCTTGGTAAGATCGGTAACTTTGTTACTCAAAAACTTTCTTCCTAGGTTGCCTTTACCCAGCAAGT</t>
  </si>
  <si>
    <t>ACTGGCATGTGGCAGCATGCCACCCAAACTGCCTAGTCTTTCCCAGGTGGAATACCGACTGCCATTTCTTTTGTTTCCTCTCTTCCTCTCAGCTGCAATATCTAGAGAACTT</t>
  </si>
  <si>
    <t>ACTGGCATGTGGCAGCATGCCACCCAAACTGCCTAGTCTTTCCCAGGTGGAATACCGACTGCCATTTCTTTTGTTTCCTCTCTTCCTCTCAACTGCAATATCTAGAGAACTT</t>
  </si>
  <si>
    <t>ACTGGCATGTGGCAGCATGCCACCCAAACTGCCTAGTCTTTCCCAGGTGGAATACCGACTGCCATTTCTTTTGTTTCCTCTCTTCCTCTCTGCTGCAATATCTAGAGAACTT</t>
  </si>
  <si>
    <t>ACTGGCATGTGGCAGCATGCCACCCAAACTGCCTAGTCTTTCCCAGGTGGAATACCGACTGCCATTTCTTTTGTTTCCTCTCTTCCTCTCGGCTGCAATATCTAGAGAACTT</t>
  </si>
  <si>
    <t>ACTGGCATGTGGCAGCATGCCACCCAAACTGCCTAGTCTTTCCCAGGTGGAATACCGACTGCCATTTCTTTTGTTTCCTCTCTTCCTCTCCGCTGCAATATCTAGAGAACTT</t>
  </si>
  <si>
    <t>ACTGGCATGTGGCAGCATGCCACCCAAACTGCCTAGTCTTTCCCAGGTGGAATACCGACTGCCATTTCTTTTGTTTCCTCTCTTCCTCCCAGCTGCAATATCTAGAGAACTT</t>
  </si>
  <si>
    <t>ACTGGCATGTGGCAGCATGCCACCCAAACTGCCTAGTCTTTCCCAGGTGGAATACCGACTGCCATTTCTTTTCCTCTCAGCTGCAATATCTAGAGAACTT</t>
  </si>
  <si>
    <t>ACTGGCATGTGGCAGCATGCCACCCAAACTGCCTAGTCTTTCCCAGGTGGAATACCGACTGCCATTTCTTTTGTTTCCTCTCATCCTCTCAGCTGCAATATCTAGAGAACTT</t>
  </si>
  <si>
    <t>ACTGGCATGTGGCAGCATGCCACCCAAACTGCCTAGTCTTTCCCAGGTGGAATACCGACTGCCATTTCTTTTGTTTCCTTTCTTCCTCTCAGCTGCAATATCTAGAGAACTT</t>
  </si>
  <si>
    <t>ACTGGCATGTGGCAGCATGCCACCCAAACTGCCTAGTCTTTCCCAGGTGGAATACCGACTGCCATTTCTTTGTTTCCTCTCTTCCTCTCAGCTGCAATATCTAGAGAACTT</t>
  </si>
  <si>
    <t>ACTGGCATGTGGCAGCATGCCACCCAAACTGCCTAGTCTTTCCCAGGTGGAATACCGACTGCCATTTATTTTGTTTCCTCTCTTCCTCTCAGCTGCAATATCTAGAGAACTT</t>
  </si>
  <si>
    <t>ACTGGCATGTGGCAGCATGCCACCCAAACTGCCTAGTCTTTCCCAGGTGGAATACTGACTGCCATTTCTTTTGTTTCCTCTCTTCCTCTCAGCTGCAATATCTAGAGAACTT</t>
  </si>
  <si>
    <t>TTACAGACATATTCTATACAGTGTAAGCAGTTTTACACTTACAGGGATTACACTGTATTTCTTTGACTTCAGTTGTCTTTGTTTCTCTTCAGAAGAGCCACCTGGCAGCAAA</t>
  </si>
  <si>
    <t>TTACAGACATATTCTATACAGTGTAAGCAGTTTTACAGTTACAGGGATTACACTGTATTTCTTTGACTTCAGTTGTCTTTGTTTCTCTTCAGAAGAGCCACCTGGCAGCAAA</t>
  </si>
  <si>
    <t>CACTCGGCTGACCTTTAAACTACTTTACAATATGCTCGAGAACATGTGCAACATTTTTCGTCTTGTGATATAAATGATACTTATCTTTTCAGGAAGAGAGAATGGATTCTGC</t>
  </si>
  <si>
    <t>CACTCGGCTGACCTTTAAACTACTTTACAATATGCTCGAGAACATGTGCAACATTTTTCGTCTTGTGATATAAATGATACTTATCTTTTCAAGAAGAGAGAATGGATTCTGC</t>
  </si>
  <si>
    <t>CACTCGGCTGACCTTTAAACTACTTTACAATATGCTCGAGAACATGTGCAACATTTTTCGTCTTGTGATATAAATGATACTTATCTATTCAGGAAGAGAGAATGGATTCTGC</t>
  </si>
  <si>
    <t>CACTCGGCTGACCTTTAAACTACTTTACAATATGCTCGAGAACATGTGCAACATTTTTCGTCTTGTGATATAAATGATACTTACCTTTTCAGGAAGAGAGAATGGATTCTGC</t>
  </si>
  <si>
    <t>CACTCGGCTGACCTTTAAACTACTTTACAATATGCTCGAGAACATGTGCAACATTTTTCGTCTTGTGATATAAATGATACCTATCTTTTCAGGAAGAGAGAATGGATTCTGC</t>
  </si>
  <si>
    <t>ATTTATAGTAATAGTTATAGGCTGAAAAAAAATCGGCAGTTTTTCTAATAGTTGGGCTCAGTGTTCATATATGTTCTGCCCTTGTCTCTAAGCAGGTGGAAAAGGAACTCCT</t>
  </si>
  <si>
    <t>ATTTATAGTAATAGTTATAGGCTGAAAAAAAATCGGCAGTTTTTCTAATAGTTGGGCTCAGTGTTCATATATGTTCTGCCCTTATCTCTAAGCAGGTGGAAAAGGAACTCCT</t>
  </si>
  <si>
    <t>ATTTATAGTAATAGTTATAGGCTGAAAAAAAATCGGCAGTTTTTCTAATAGTTGGGCTCAGTGTTCATATGTTCTGCCCTTGTCTCTAAGCAGGTGGAAAAGGAACTCCT</t>
  </si>
  <si>
    <t>ATTTATAGTAATAGTTATAGGCTGAAAAAAAATCGGCAGTTTTTCTAATAGTTGGGCTCGGTGTTCATATATGTTCTGCCCTTGTCTCTAAGCAGGTGGAAAAGGAACTCCT</t>
  </si>
  <si>
    <t>TAAATTTAAGCTGAACACTGGCCATGGATATAAACCTCGTGGATGACTTAGCATTCCTTTGCCACTGCTGATGTACTTTATTAACTTCCCAGGCTACTCTTTGGAGCCCATC</t>
  </si>
  <si>
    <t>TAAATTTAAGCTGAACACTGGCCATGGATATAAACCTCGTGGATGACTTAGCATTCCTTTGCCACTGCTGATGTACTTTATTAACTTCCCAAGCTACTCTTTGGAGCCCATC</t>
  </si>
  <si>
    <t>TAAATTTAAGCTGAACACTGGCCATGGATATAAACCTCGTGGATGACTTAGCATTCCTTTGCCACTGCTGATGTACTTTATTAACTTCCGAGGCTACTCTTTGGAGCCCATC</t>
  </si>
  <si>
    <t>TAAATTTAAGCTGAACACTGGCCATGGATATAAACCTCGTGGATGACTTAGCATTCCTTTGCCACTGCTGATGTACTTTATTAGCTTCCCAGGCTACTCTTTGGAGCCCATC</t>
  </si>
  <si>
    <t>TAAATTTAAGCTGAACACTGGCCATGGATATAAACCTCGTGGATGACTTAGCATTCCTTTGCCACTGCTGATGTACTTAATTAACTTCCCAGGCTACTCTTTGGAGCCCATC</t>
  </si>
  <si>
    <t>CATCTTTTTTTTTTTTTTTTTTTTTTTTTTTTTTTAACCAGAATAACCTAAAACCACACACTAACCCCCTGTGTTCTTCTCTTCCATTTTAGGGTGTGCTACTTCTACCCCT</t>
  </si>
  <si>
    <t>CATCTTTTTTTTTTTTTTTTTTTTTTTTTTTTTTTAACCAGAATAACCTAAAACCACACACTAACCCCCTGTGTTCTTCTCTTCCATTTTGGGGTGTGCTACTTCTACCCCT</t>
  </si>
  <si>
    <t>CATCTTTTTTTTTTTTTTTTTTTTTTTTTTTTTTTAACCAGAATAACCTAAAACCACACACTAACCCCCTGTGTTCTTCTCTCCCATTTTAGGGTGTGCTACTTCTACCCCT</t>
  </si>
  <si>
    <t>CATCTTTTTTTTTTTTTTTTTTTTTTTTTTTTTTTAACCAGAATAACCTAAAACCACACACTAACCCCCTGTGTCCTTCTCTTCCATTTTAGGGTGTGCTACTTCTACCCCT</t>
  </si>
  <si>
    <t>AGAGTTCCGTGGCTGGCACTGAGTTGACACTCTGAAGTATTTAATTCAGTTGATTACAGTTTGCATTTCTTGACTTTCATTGCATTTTACAGGTGGAAGAGATTAGAAACTC</t>
  </si>
  <si>
    <t>AGAGTTCCGTGGCTGGCACTGAGTTGACACTCTGAAGTATTTAATTCAGTTGATTACAGTTTGCATTTCTTGACTTTCATTGCATTTTACAAGTGGAAGAGATTAGAAACTC</t>
  </si>
  <si>
    <t>AGAGTTCCGTGGCTGGCACTGAGTTGACACTCTGAAGTATTTAATTCAGTTGATTACAGTTTGCATTTCTTGACTTTCATTGCATTTTACTGGTGGAAGAGATTAGAAACTC</t>
  </si>
  <si>
    <t>AGAGTTCCGTGGCTGGCACTGAGTTGACACTCTGAAGTATTTAATTCAGTTGATTACAGTTTGCATTTCTTGACTTTCATTGCATTTTACGGGTGGAAGAGATTAGAAACTC</t>
  </si>
  <si>
    <t>AGAGTTCCGTGGCTGGCACTGAGTTGACACTCTGAAGTATTTAATTCAGTTGATTACAGTTTGCATTTCTTGACTTTCATTGAATTTTACAGGTGGAAGAGATTAGAAACTC</t>
  </si>
  <si>
    <t>AGAGTTCCGTGGCTGGCACTGAGTTGACACTCTGAAGTATTTAATTCAGTTGATTACAGTTTGCATTTCTTGGCTTTCATTGCATTTTACAGGTGGAAGAGATTAGAAACTC</t>
  </si>
  <si>
    <t>CTTCATTCCTTTTAATTGTCAACTAATATTCCATCATTTGGATGTTCCACAAACATTCAGCCCTTTATAATTTGTCAACCCAACTCTTCTAGCCAATGATGGAGCATGTGCG</t>
  </si>
  <si>
    <t>CTTCATTCCTTTTAATTGTCAACTAATATTCCATCATTTGGATGTTCCACAAACATTCAGCCCTTTATAATTTGTCAACCCAACTCTTCTACCCAATGATGGAGCATGTGCG</t>
  </si>
  <si>
    <t>CTTCATTCCTTTTAATTGTCAACTAATATTCCATCATTTGGATGTTCCACAAACATTCAGCCCTTTATAATTTGTCAACCCAACTCTTCTAACCAATGATGGAGCATGTGCG</t>
  </si>
  <si>
    <t>CTTCATTCCTTTTAATTGTCAACTAATATTCCATCATTTGGATGTTCCACAAACATTCAGCCCTTTATAATTTGTCAACCCAACTCTGTAGCCAATGATGGAGCATGTGCG</t>
  </si>
  <si>
    <t>CTTCATTCCTTTTAATTGTCAACTAATATTCCATCATTTGGATGTTCCACAAACATTCAGCCCTTTATAATTTGTCAACCCAAGTCTTCTAGCCAATGATGGAGCATGTGCG</t>
  </si>
  <si>
    <t>CTTCATTCCTTTTAATTGTCAACTAATATTCCATCATTTGGATGTTCCACAAACATTCAGCCCTTTATAATTTGTCAACCCACCTCTTCTAGCCAATGATGGAGCATGTGCG</t>
  </si>
  <si>
    <t>CTTCATTCCTTTTAATTGTCAACTAATATTCCATCATTTGGATGTTCCACAAACATTCAGCCCTTTATAATTTGTCAGCCCAACTCTTCTAGCCAATGATGGAGCATGTGCG</t>
  </si>
  <si>
    <t>CTTCATTCCTTTTAATTGTCAACTAATATTCCATCATTTGGATGTTCCACAAACATTCAGCCCTTTTAATTTGTCAACCCAACTCTTCTAGCCAATGATGGAGCATGTGCG</t>
  </si>
  <si>
    <t>AAGTCCTGCTGGCAGCCACTTGTTTATAGCTGTTTTGCACTCCTCAATCTGTCTCCAACTAAGAGGCTCTTCTCAACGGGTTCCTTTTCTAGGCCACGTGGCGGAAGTCTAT</t>
  </si>
  <si>
    <t>AAGTCCTGCTGGCAGCCACTTGTTTATAGCTGTTTTGCACTCCTCAATCTGTCTCCAACTAAGAGGCTCTTCTCAACGGGTTCCTTTTCTAAGCCACGTGGCGGAAGTCTAT</t>
  </si>
  <si>
    <t>AAGTCCTGCTGGCAGCCACTTGTTTATAGCTGTTTTGCACTCCTCAATCTGTCTCCAACTAAGAGGCTCTTCTCAACGGGTTCCTTTTCTACGCCACGTGGCGGAAGTCTAT</t>
  </si>
  <si>
    <t>AAGTCCTGCTGGCAGCCACTTGTTTATAGCTGTTTTGCACTCCTCAATCTGTCTCCAACTAAGAGGCTCTTCTCAACGGGTTTCTTTTCTAGGCCACGTGGCGGAAGTCTAT</t>
  </si>
  <si>
    <t>AAGTCCTGCTGGCAGCCACTTGTTTATAGCTGTTTTGCACTCCTCAATCTGTCTCCAACTAAGAGGCTCTTCTCAACAGGTTCCTTTTCTAGGCCACGTGGCGGAAGTCTAT</t>
  </si>
  <si>
    <t>ACTTGAGAGATTGGAGCACATCATTGCTGTCTTTATTTGTGTTAACTTCATACATTCATGTGAGGACTGCCCTTGTTCTTTTACATTTTCAGCACCTCTTGGACAGGATTAA</t>
  </si>
  <si>
    <t>ACTTGAGAGATTGGAGCACATCATTGCTGTCTTTATTTGTGTTAACTTCATACATTCATGTGAGGACTGCCCTTGTTCTTTTACATTTTCATCACCTCTTGGACAGGATTAA</t>
  </si>
  <si>
    <t>ACTTGAGAGATTGGAGCACATCATTGCTGTCTTTATTTGTGTTAACTTCATACATTCATGTGAGGACTGCCCTTGTTCTTTTACATTTTCAACACCTCTTGGACAGGATTAA</t>
  </si>
  <si>
    <t>ACTTGAGAGATTGGAGCACATCATTGCTGTCTTTATTTGTGTTAACTTCATACATTCATGTGAGGACTGCCCTTGTTCTTTTACATTTTCCGCACCTCTTGGACAGGATTAA</t>
  </si>
  <si>
    <t>ACTTGAGAGATTGGAGCACATCATTGCTGTCTTTATTTGTGTTAACTTCATACATTCATGTGAGGACTGCCCTTGTTCTTTTACATTTTCGGCACCTCTTGGACAGGATTAA</t>
  </si>
  <si>
    <t>ACTTGAGAGATTGGAGCACATCATTGCTGTCTTTATTTGTGTTAACTTCATACATTCATGTGAGGACTGCCCTTGTTCTTTTACATTTTTAGCACCTCTTGGACAGGATTAA</t>
  </si>
  <si>
    <t>ACTTGAGAGATTGGAGCACATCATTGCTGTCTTTATTTGTGTTAACTTCATACATTCATGTGAGGACTGCCCTTGTTCTTTTACATTTTAAGCACCTCTTGGACAGGATTAA</t>
  </si>
  <si>
    <t>ACTTGAGAGATTGGAGCACATCATTGCTGTCTTTATTTGTGTTAACTTCATACATTCATGTGAGGACTGCCCTTGTTCTTTTACAGTTTCAGCACCTCTTGGACAGGATTAA</t>
  </si>
  <si>
    <t>ACTTGAGAGATTGGAGCACATCATTGCTGTCTTTATTTGTGTTAACTTCATACATTCATGTGAGGACTGCCCTTGTTCTTTTCATTTTCAGCACCTCTTGGACAGGATTAA</t>
  </si>
  <si>
    <t>ACTTGAGAGATTGGAGCACATCATTGCTGTCTTTATTTGTGTTAACTTCATACATTCATGTGAGGACTGCCCTTGTTCTTTTTACATTTTCAGCACCTCTTGGACAGGATTAA</t>
  </si>
  <si>
    <t>ACTTGAGAGATTGGAGCACATCATTGCTGTCTTTATTTGTGTTAACTTCATACATTCATGTGAGGACTGCCCTTGTTGTTTTACATTTTCAGCACCTCTTGGACAGGATTAA</t>
  </si>
  <si>
    <t>ACTTGAGAGATTGGAGCACATCATTGCTGTCTTTATTTGTGTTAACTTCATACATTCATGTGAGGACTGCCCTTGTCCTTTTACATTTTCAGCACCTCTTGGACAGGATTAA</t>
  </si>
  <si>
    <t>CATTTTCTGGATTTTGTGACAGGAAGCTGTGTAAGGTAAATTTAGGATGTTAAGGGGAATAAGTATCATCCATTGCCCTTTTCTTGATTTAGACCGTGGCCCTATGCTTGTA</t>
  </si>
  <si>
    <t>CATTTTCTGGATTTTGTGACAGGAAGCTGTGTAAGGTAAATTTAGGATGTTAAGGGGAATAAGTATCATCCATTGCCCTTTTCTTGATTTAAACCGTGGCCCTATGCTTGTA</t>
  </si>
  <si>
    <t>CATTTTCTGGATTTTGTGACAGGAAGCTGTGTAAGGTAAATTTAGGATGTTAAGGGGAATAAGTATCATCCATTGCCCTTTTCTTGATTTGGACCGTGGCCCTATGCTTGTA</t>
  </si>
  <si>
    <t>GAACACGTGCATTAGTTTGTCTTGCAGGTATTTTCTTTTTTTATGGAGAAAAATGGGGCCATTTAGTGACTGTTCATCTTCCTTTTTCTCAGTTTGGTAGTGGCCCCAATGA</t>
  </si>
  <si>
    <t>GAACACGTGCATTAGTTTGTCTTGCAGGTATTTTCTTTTTTTATGGAGAAAAATGGGGCCATTTAGTGACTGTTCATCTTCCTTTTTTTCAGTTTGGTAGTGGCCCCAATGA</t>
  </si>
  <si>
    <t>GAACACGTGCATTAGTTTGTCTTGCAGGTATTTTCTTTTTTTATGGAGAAAAATGGGGCCATTTAGTGACTGTTCATCTTCCCTTTTCTCAGTTTGGTAGTGGCCCCAATGA</t>
  </si>
  <si>
    <t>GAACACGTGCATTAGTTTGTCTTGCAGGTATTTTCTTTTTTATGGAGAAAAATGGGGCCATTTAGTGACTGTTCATCTTCCTTTTTCTCAGTTTGGTAGTGGCCCCAATGA</t>
  </si>
  <si>
    <t>GAACACGTGCATTAGTTTGTCTTGCAGGTATTTTCTTCTTTTATGGAGAAAAATGGGGCCATTTAGTGACTGTTCATCTTCCTTTTTCTCAGTTTGGTAGTGGCCCCAATGA</t>
  </si>
  <si>
    <t>F_priming</t>
    <phoneticPr fontId="1" type="noConversion"/>
  </si>
  <si>
    <t>R_priming</t>
    <phoneticPr fontId="1" type="noConversion"/>
  </si>
  <si>
    <t>TGGGGCCTGAAGACCTGACT</t>
  </si>
  <si>
    <t>GCTGCTGTGCTCCTTTTCCG</t>
  </si>
  <si>
    <t>final_seq</t>
    <phoneticPr fontId="1" type="noConversion"/>
  </si>
  <si>
    <t>(right)</t>
    <phoneticPr fontId="1" type="noConversion"/>
  </si>
  <si>
    <t>check ESE(left)</t>
    <phoneticPr fontId="1" type="noConversion"/>
  </si>
  <si>
    <t>TAT</t>
  </si>
  <si>
    <t>TGA</t>
  </si>
  <si>
    <t>GTA</t>
  </si>
  <si>
    <t>CTG</t>
  </si>
  <si>
    <t>CGT</t>
  </si>
  <si>
    <t>TGC</t>
  </si>
  <si>
    <t>TG</t>
    <phoneticPr fontId="1" type="noConversion"/>
  </si>
  <si>
    <t>CAT</t>
  </si>
  <si>
    <t>GAG</t>
  </si>
  <si>
    <t>TCG</t>
  </si>
  <si>
    <t>ACT</t>
  </si>
  <si>
    <t>GCA</t>
  </si>
  <si>
    <t>CGA</t>
  </si>
  <si>
    <t>GGA</t>
  </si>
  <si>
    <t>GAT</t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</si>
  <si>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</si>
  <si>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</si>
  <si>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</si>
  <si>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</si>
  <si>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CG</t>
    <phoneticPr fontId="1" type="noConversion"/>
  </si>
  <si>
    <t>AA</t>
    <phoneticPr fontId="1" type="noConversion"/>
  </si>
  <si>
    <t>GG</t>
    <phoneticPr fontId="1" type="noConversion"/>
  </si>
  <si>
    <t>TT</t>
    <phoneticPr fontId="1" type="noConversion"/>
  </si>
  <si>
    <t>CG</t>
    <phoneticPr fontId="1" type="noConversion"/>
  </si>
  <si>
    <t>CCC</t>
    <phoneticPr fontId="1" type="noConversion"/>
  </si>
  <si>
    <t>CAG</t>
    <phoneticPr fontId="1" type="noConversion"/>
  </si>
  <si>
    <t>CCA</t>
    <phoneticPr fontId="1" type="noConversion"/>
  </si>
  <si>
    <t>CAT</t>
    <phoneticPr fontId="1" type="noConversion"/>
  </si>
  <si>
    <t>CGG</t>
    <phoneticPr fontId="1" type="noConversion"/>
  </si>
  <si>
    <t>CCT</t>
    <phoneticPr fontId="1" type="noConversion"/>
  </si>
  <si>
    <t>CGC</t>
    <phoneticPr fontId="1" type="noConversion"/>
  </si>
  <si>
    <t>CAC</t>
    <phoneticPr fontId="1" type="noConversion"/>
  </si>
  <si>
    <t>CCG</t>
    <phoneticPr fontId="1" type="noConversion"/>
  </si>
  <si>
    <t>CGT</t>
    <phoneticPr fontId="1" type="noConversion"/>
  </si>
  <si>
    <t>CGA</t>
    <phoneticPr fontId="1" type="noConversion"/>
  </si>
  <si>
    <t>CAA</t>
    <phoneticPr fontId="1" type="noConversion"/>
  </si>
  <si>
    <t>seq_len</t>
    <phoneticPr fontId="1" type="noConversion"/>
  </si>
  <si>
    <t>Exon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</si>
</sst>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8"/>
      <name val="Courier New"/>
      <family val="3"/>
    </font>
    <font>
      <sz val="12"/>
      <color theme="4" tint="-0.499984740745262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"/>
  <sheetViews>
    <sheetView tabSelected="1" topLeftCell="E107" workbookViewId="0">
      <selection activeCell="P2" sqref="P2:P139"/>
    </sheetView>
  </sheetViews>
  <sheetFormatPr defaultRowHeight="16.5" x14ac:dyDescent="0.25"/>
  <cols>
    <col min="1" max="1" width="14.5" customWidth="1"/>
    <col min="2" max="2" width="35.875" customWidth="1"/>
    <col min="3" max="3" width="28.625" customWidth="1"/>
    <col min="4" max="4" width="6.625" customWidth="1"/>
    <col min="5" max="5" width="7.5" customWidth="1"/>
    <col min="6" max="6" width="19.625" customWidth="1"/>
    <col min="8" max="8" width="14.75" customWidth="1"/>
    <col min="12" max="12" width="13.125" style="1" customWidth="1"/>
    <col min="13" max="13" width="7" customWidth="1"/>
    <col min="14" max="14" width="16.625" customWidth="1"/>
    <col min="15" max="15" width="7.5" customWidth="1"/>
  </cols>
  <sheetData>
    <row r="1" spans="1:16" x14ac:dyDescent="0.25">
      <c r="B1" t="s">
        <v>138</v>
      </c>
      <c r="C1" t="s">
        <v>20</v>
      </c>
      <c r="E1" t="s">
        <v>137</v>
      </c>
      <c r="F1" t="s">
        <v>165</v>
      </c>
      <c r="G1" t="s">
        <v>170</v>
      </c>
      <c r="H1" t="s">
        <v>186</v>
      </c>
      <c r="I1" t="s">
        <v>324</v>
      </c>
      <c r="J1" t="s">
        <v>325</v>
      </c>
      <c r="K1" t="s">
        <v>328</v>
      </c>
      <c r="L1" s="1" t="s">
        <v>330</v>
      </c>
      <c r="M1" t="s">
        <v>329</v>
      </c>
      <c r="O1" t="s">
        <v>367</v>
      </c>
      <c r="P1" t="s">
        <v>368</v>
      </c>
    </row>
    <row r="2" spans="1:16" x14ac:dyDescent="0.25">
      <c r="A2" t="s">
        <v>0</v>
      </c>
      <c r="D2" t="s">
        <v>160</v>
      </c>
      <c r="F2" t="str">
        <f>(A2&amp;"_"&amp;C2)</f>
        <v>chr9:132896734_</v>
      </c>
      <c r="G2" t="s">
        <v>183</v>
      </c>
      <c r="H2" t="s">
        <v>185</v>
      </c>
      <c r="I2" t="s">
        <v>326</v>
      </c>
      <c r="J2" t="s">
        <v>327</v>
      </c>
      <c r="K2" t="str">
        <f>(I2&amp;H2&amp;G2&amp;J2)</f>
        <v>TGGGGCCTGAAGACCTGACTTCAGTGTGAGTGAGTGTCAGTGTAATTCCACATCCTCCGAATGTGGACAGTCCAATCACCAGCTCCTTTTTTCCTCCCCGGCTTTCTTACAGGCTTGACTGTTGTAATGACGTAGCTGCTGTGCTCCTTTTCCG</v>
      </c>
      <c r="L2" s="1" t="str">
        <f>RIGHT(H2,5)</f>
        <v>TGACG</v>
      </c>
      <c r="M2" t="str">
        <f t="shared" ref="M2:M33" si="0">LEFT(J2,5)</f>
        <v>GCTGC</v>
      </c>
      <c r="N2" t="str">
        <f>(L2&amp;G2&amp;M2)</f>
        <v>TGACGTAGCTGC</v>
      </c>
      <c r="O2" s="2">
        <f>LEN(K2)</f>
        <v>154</v>
      </c>
      <c r="P2" t="str">
        <f>RIGHT(K2,42)</f>
        <v>GCTTGACTGTTGTAATGACGTAGCTGCTGTGCTCCTTTTCCG</v>
      </c>
    </row>
    <row r="3" spans="1:16" x14ac:dyDescent="0.25">
      <c r="A3" t="s">
        <v>0</v>
      </c>
      <c r="B3" t="s">
        <v>139</v>
      </c>
      <c r="C3" t="s">
        <v>21</v>
      </c>
      <c r="D3" t="str">
        <f>RIGHT(C3,3)</f>
        <v>T&gt;G</v>
      </c>
      <c r="E3">
        <v>6</v>
      </c>
      <c r="F3" t="str">
        <f t="shared" ref="F3:F66" si="1">(A3&amp;"_"&amp;C3)</f>
        <v>chr9:132896734_chr9:132896761-132896762:T&gt;G</v>
      </c>
      <c r="G3" s="4" t="s">
        <v>350</v>
      </c>
      <c r="H3" t="s">
        <v>187</v>
      </c>
      <c r="I3" t="s">
        <v>326</v>
      </c>
      <c r="J3" t="s">
        <v>327</v>
      </c>
      <c r="K3" t="str">
        <f t="shared" ref="K3:K33" si="2">(I3&amp;H3&amp;G3&amp;J3)</f>
        <v>TGGGGCCTGAAGACCTGACTTCAGTGTGAGTGAGTGTCAGTGTAATTCCACATCCTCCGAATGTGGACAGTCCAATCACCAGCTCCTTTTTTCCTCCCCGGCTTGCTTACAGGCTTGACTGTTGTAATGACGCGGCTGCTGTGCTCCTTTTCCG</v>
      </c>
      <c r="L3" s="1" t="str">
        <f t="shared" ref="L3:L66" si="3">RIGHT(H3,5)</f>
        <v>TGACG</v>
      </c>
      <c r="M3" t="str">
        <f t="shared" si="0"/>
        <v>GCTGC</v>
      </c>
      <c r="N3" t="str">
        <f t="shared" ref="N3:N66" si="4">(L3&amp;G3&amp;M3)</f>
        <v>TGACGCGGCTGC</v>
      </c>
      <c r="O3" s="2">
        <f t="shared" ref="O3:O66" si="5">LEN(K3)</f>
        <v>154</v>
      </c>
      <c r="P3" t="str">
        <f t="shared" ref="P3:P12" si="6">RIGHT(K3,42)</f>
        <v>GCTTGACTGTTGTAATGACGCGGCTGCTGTGCTCCTTTTCCG</v>
      </c>
    </row>
    <row r="4" spans="1:16" x14ac:dyDescent="0.25">
      <c r="A4" t="s">
        <v>0</v>
      </c>
      <c r="B4" t="s">
        <v>139</v>
      </c>
      <c r="C4" t="s">
        <v>22</v>
      </c>
      <c r="D4" t="str">
        <f t="shared" ref="D4:D67" si="7">RIGHT(C4,3)</f>
        <v>T&gt;A</v>
      </c>
      <c r="E4">
        <v>6</v>
      </c>
      <c r="F4" t="str">
        <f t="shared" si="1"/>
        <v>chr9:132896734_chr9:132896763-132896764:T&gt;A</v>
      </c>
      <c r="G4" t="s">
        <v>174</v>
      </c>
      <c r="H4" t="s">
        <v>188</v>
      </c>
      <c r="I4" t="s">
        <v>326</v>
      </c>
      <c r="J4" t="s">
        <v>327</v>
      </c>
      <c r="K4" t="str">
        <f t="shared" si="2"/>
        <v>TGGGGCCTGAAGACCTGACTTCAGTGTGAGTGAGTGTCAGTGTAATTCCACATCCTCCGAATGTGGACAGTCCAATCACCAGCTCCTTTTTTCCTCCCCGGCATTCTTACAGGCTTGACTGTTGTAATGACGCAGCTGCTGTGCTCCTTTTCCG</v>
      </c>
      <c r="L4" s="1" t="str">
        <f t="shared" si="3"/>
        <v>TGACG</v>
      </c>
      <c r="M4" t="str">
        <f t="shared" si="0"/>
        <v>GCTGC</v>
      </c>
      <c r="N4" t="str">
        <f t="shared" si="4"/>
        <v>TGACGCAGCTGC</v>
      </c>
      <c r="O4" s="2">
        <f t="shared" si="5"/>
        <v>154</v>
      </c>
      <c r="P4" t="str">
        <f t="shared" si="6"/>
        <v>GCTTGACTGTTGTAATGACGCAGCTGCTGTGCTCCTTTTCCG</v>
      </c>
    </row>
    <row r="5" spans="1:16" x14ac:dyDescent="0.25">
      <c r="A5" t="s">
        <v>0</v>
      </c>
      <c r="B5" t="s">
        <v>139</v>
      </c>
      <c r="C5" t="s">
        <v>23</v>
      </c>
      <c r="D5" t="str">
        <f t="shared" si="7"/>
        <v>T&gt;C</v>
      </c>
      <c r="E5">
        <v>6</v>
      </c>
      <c r="F5" t="str">
        <f t="shared" si="1"/>
        <v>chr9:132896734_chr9:132896771-132896772:T&gt;C</v>
      </c>
      <c r="G5" t="s">
        <v>173</v>
      </c>
      <c r="H5" t="s">
        <v>189</v>
      </c>
      <c r="I5" t="s">
        <v>326</v>
      </c>
      <c r="J5" t="s">
        <v>327</v>
      </c>
      <c r="K5" t="str">
        <f t="shared" si="2"/>
        <v>TGGGGCCTGAAGACCTGACTTCAGTGTGAGTGAGTGTCAGTGTAATTCCACATCCTCCGAATGTGGACAGTCCAATCACCAGCTCCTTTTTTCCCCCCCGGCTTTCTTACAGGCTTGACTGTTGTAATGACGATGCTGCTGTGCTCCTTTTCCG</v>
      </c>
      <c r="L5" s="1" t="str">
        <f t="shared" si="3"/>
        <v>TGACG</v>
      </c>
      <c r="M5" t="str">
        <f t="shared" si="0"/>
        <v>GCTGC</v>
      </c>
      <c r="N5" t="str">
        <f t="shared" si="4"/>
        <v>TGACGATGCTGC</v>
      </c>
      <c r="O5" s="2">
        <f t="shared" si="5"/>
        <v>154</v>
      </c>
      <c r="P5" t="str">
        <f t="shared" si="6"/>
        <v>GCTTGACTGTTGTAATGACGATGCTGCTGTGCTCCTTTTCCG</v>
      </c>
    </row>
    <row r="6" spans="1:16" x14ac:dyDescent="0.25">
      <c r="A6" t="s">
        <v>0</v>
      </c>
      <c r="B6" t="s">
        <v>139</v>
      </c>
      <c r="C6" t="s">
        <v>24</v>
      </c>
      <c r="D6" t="str">
        <f t="shared" si="7"/>
        <v>C&gt;A</v>
      </c>
      <c r="E6">
        <v>6</v>
      </c>
      <c r="F6" t="str">
        <f t="shared" si="1"/>
        <v>chr9:132896734_chr9:132896787-132896788:C&gt;A</v>
      </c>
      <c r="G6" t="s">
        <v>337</v>
      </c>
      <c r="H6" t="s">
        <v>190</v>
      </c>
      <c r="I6" t="s">
        <v>326</v>
      </c>
      <c r="J6" t="s">
        <v>327</v>
      </c>
      <c r="K6" t="str">
        <f t="shared" si="2"/>
        <v>TGGGGCCTGAAGACCTGACTTCAGTGTGAGTGAGTGTCAGTGTAATTCCACATCCTCCGAATGTGGACAGTCCAATCAACAGCTCCTTTTTTCCTCCCCGGCTTTCTTACAGGCTTGACTGTTGTAATGACGTGGCTGCTGTGCTCCTTTTCCG</v>
      </c>
      <c r="L6" s="1" t="str">
        <f t="shared" si="3"/>
        <v>TGACG</v>
      </c>
      <c r="M6" t="str">
        <f t="shared" si="0"/>
        <v>GCTGC</v>
      </c>
      <c r="N6" t="str">
        <f t="shared" si="4"/>
        <v>TGACGTGGCTGC</v>
      </c>
      <c r="O6" s="2">
        <f t="shared" si="5"/>
        <v>154</v>
      </c>
      <c r="P6" t="str">
        <f t="shared" si="6"/>
        <v>GCTTGACTGTTGTAATGACGTGGCTGCTGTGCTCCTTTTCCG</v>
      </c>
    </row>
    <row r="7" spans="1:16" x14ac:dyDescent="0.25">
      <c r="A7" t="s">
        <v>0</v>
      </c>
      <c r="B7" t="s">
        <v>139</v>
      </c>
      <c r="C7" t="s">
        <v>25</v>
      </c>
      <c r="D7" t="str">
        <f t="shared" si="7"/>
        <v>G&gt;C</v>
      </c>
      <c r="E7">
        <v>6</v>
      </c>
      <c r="F7" t="str">
        <f t="shared" si="1"/>
        <v>chr9:132896734_chr9:132896796-132896797:G&gt;C</v>
      </c>
      <c r="G7" t="s">
        <v>176</v>
      </c>
      <c r="H7" t="s">
        <v>191</v>
      </c>
      <c r="I7" t="s">
        <v>326</v>
      </c>
      <c r="J7" t="s">
        <v>327</v>
      </c>
      <c r="K7" t="str">
        <f t="shared" si="2"/>
        <v>TGGGGCCTGAAGACCTGACTTCAGTGTGAGTGAGTGTCAGTGTAATTCCACATCCTCCGAATGTGGACACTCCAATCACCAGCTCCTTTTTTCCTCCCCGGCTTTCTTACAGGCTTGACTGTTGTAATGACGCTGCTGCTGTGCTCCTTTTCCG</v>
      </c>
      <c r="L7" s="1" t="str">
        <f t="shared" si="3"/>
        <v>TGACG</v>
      </c>
      <c r="M7" t="str">
        <f t="shared" si="0"/>
        <v>GCTGC</v>
      </c>
      <c r="N7" t="str">
        <f t="shared" si="4"/>
        <v>TGACGCTGCTGC</v>
      </c>
      <c r="O7" s="2">
        <f t="shared" si="5"/>
        <v>154</v>
      </c>
      <c r="P7" t="str">
        <f t="shared" si="6"/>
        <v>GCTTGACTGTTGTAATGACGCTGCTGCTGTGCTCCTTTTCCG</v>
      </c>
    </row>
    <row r="8" spans="1:16" x14ac:dyDescent="0.25">
      <c r="A8" t="s">
        <v>0</v>
      </c>
      <c r="B8" t="s">
        <v>139</v>
      </c>
      <c r="C8" t="s">
        <v>26</v>
      </c>
      <c r="D8" t="str">
        <f t="shared" si="7"/>
        <v>G&gt;A</v>
      </c>
      <c r="E8">
        <v>6</v>
      </c>
      <c r="F8" t="str">
        <f t="shared" si="1"/>
        <v>chr9:132896734_chr9:132896807-132896808:G&gt;A</v>
      </c>
      <c r="G8" t="s">
        <v>178</v>
      </c>
      <c r="H8" t="s">
        <v>192</v>
      </c>
      <c r="I8" t="s">
        <v>326</v>
      </c>
      <c r="J8" t="s">
        <v>327</v>
      </c>
      <c r="K8" t="str">
        <f t="shared" si="2"/>
        <v>TGGGGCCTGAAGACCTGACTTCAGTGTGAGTGAGTGTCAGTGTAATTCCACATCCTCCAAATGTGGACAGTCCAATCACCAGCTCCTTTTTTCCTCCCCGGCTTTCTTACAGGCTTGACTGTTGTAATGACGGCGCTGCTGTGCTCCTTTTCCG</v>
      </c>
      <c r="L8" s="1" t="str">
        <f t="shared" si="3"/>
        <v>TGACG</v>
      </c>
      <c r="M8" t="str">
        <f t="shared" si="0"/>
        <v>GCTGC</v>
      </c>
      <c r="N8" t="str">
        <f t="shared" si="4"/>
        <v>TGACGGCGCTGC</v>
      </c>
      <c r="O8" s="2">
        <f t="shared" si="5"/>
        <v>154</v>
      </c>
      <c r="P8" t="str">
        <f t="shared" si="6"/>
        <v>GCTTGACTGTTGTAATGACGGCGCTGCTGTGCTCCTTTTCCG</v>
      </c>
    </row>
    <row r="9" spans="1:16" x14ac:dyDescent="0.25">
      <c r="A9" t="s">
        <v>1</v>
      </c>
      <c r="D9" t="s">
        <v>166</v>
      </c>
      <c r="F9" t="str">
        <f t="shared" si="1"/>
        <v>chr9:132897305_</v>
      </c>
      <c r="G9" t="s">
        <v>171</v>
      </c>
      <c r="H9" t="s">
        <v>193</v>
      </c>
      <c r="I9" t="s">
        <v>326</v>
      </c>
      <c r="J9" t="s">
        <v>327</v>
      </c>
      <c r="K9" t="str">
        <f t="shared" si="2"/>
        <v>TGGGGCCTGAAGACCTGACTTTTCATCAGGAAAGGCTTTTGTGTTTTTATTAAGTGGAACTTCCTATATTCTGGCTGGTCTGTATCTTTCAGAGGACAGCTGCAGGCCGCAGAGAGCAGGTATGAGGCTCAGACGCTGCTGTGCTCCTTTTCCG</v>
      </c>
      <c r="L9" s="1" t="str">
        <f t="shared" si="3"/>
        <v>CTCAG</v>
      </c>
      <c r="M9" t="str">
        <f t="shared" si="0"/>
        <v>GCTGC</v>
      </c>
      <c r="N9" t="str">
        <f t="shared" si="4"/>
        <v>CTCAGACGCTGC</v>
      </c>
      <c r="O9" s="2">
        <f t="shared" si="5"/>
        <v>154</v>
      </c>
      <c r="P9" t="str">
        <f t="shared" si="6"/>
        <v>AGAGCAGGTATGAGGCTCAGACGCTGCTGTGCTCCTTTTCCG</v>
      </c>
    </row>
    <row r="10" spans="1:16" x14ac:dyDescent="0.25">
      <c r="A10" t="s">
        <v>1</v>
      </c>
      <c r="B10" t="s">
        <v>140</v>
      </c>
      <c r="C10" t="s">
        <v>27</v>
      </c>
      <c r="D10" t="str">
        <f t="shared" si="7"/>
        <v>C&gt;T</v>
      </c>
      <c r="E10">
        <v>3</v>
      </c>
      <c r="F10" t="str">
        <f t="shared" si="1"/>
        <v>chr9:132897305_chr9:132897351-132897352:C&gt;T</v>
      </c>
      <c r="G10" t="s">
        <v>175</v>
      </c>
      <c r="H10" t="s">
        <v>194</v>
      </c>
      <c r="I10" t="s">
        <v>326</v>
      </c>
      <c r="J10" t="s">
        <v>327</v>
      </c>
      <c r="K10" t="str">
        <f t="shared" si="2"/>
        <v>TGGGGCCTGAAGACCTGACTTTTCATCAGGAAAGGCTTTTGTGTTTTTATTAAGTGGAACTTCCTATATTCTGGCTGGTCTGTATTTTTCAGAGGACAGCTGCAGGCCGCAGAGAGCAGGTATGAGGCTCAGCGGCTGCTGTGCTCCTTTTCCG</v>
      </c>
      <c r="L10" s="1" t="str">
        <f t="shared" si="3"/>
        <v>CTCAG</v>
      </c>
      <c r="M10" t="str">
        <f t="shared" si="0"/>
        <v>GCTGC</v>
      </c>
      <c r="N10" t="str">
        <f t="shared" si="4"/>
        <v>CTCAGCGGCTGC</v>
      </c>
      <c r="O10" s="2">
        <f t="shared" si="5"/>
        <v>154</v>
      </c>
      <c r="P10" t="str">
        <f t="shared" si="6"/>
        <v>AGAGCAGGTATGAGGCTCAGCGGCTGCTGTGCTCCTTTTCCG</v>
      </c>
    </row>
    <row r="11" spans="1:16" x14ac:dyDescent="0.25">
      <c r="A11" t="s">
        <v>1</v>
      </c>
      <c r="B11" t="s">
        <v>140</v>
      </c>
      <c r="C11" t="s">
        <v>28</v>
      </c>
      <c r="D11" t="str">
        <f t="shared" si="7"/>
        <v>A&gt;G</v>
      </c>
      <c r="E11">
        <v>3</v>
      </c>
      <c r="F11" t="str">
        <f t="shared" si="1"/>
        <v>chr9:132897305_chr9:132897353-132897354:A&gt;G</v>
      </c>
      <c r="G11" t="s">
        <v>182</v>
      </c>
      <c r="H11" t="s">
        <v>195</v>
      </c>
      <c r="I11" t="s">
        <v>326</v>
      </c>
      <c r="J11" t="s">
        <v>327</v>
      </c>
      <c r="K11" t="str">
        <f t="shared" si="2"/>
        <v>TGGGGCCTGAAGACCTGACTTTTCATCAGGAAAGGCTTTTGTGTTTTTATTAAGTGGAACTTCCTATATTCTGGCTGGTCTGTGTCTTTCAGAGGACAGCTGCAGGCCGCAGAGAGCAGGTATGAGGCTCAGGTGCTGCTGTGCTCCTTTTCCG</v>
      </c>
      <c r="L11" s="1" t="str">
        <f t="shared" si="3"/>
        <v>CTCAG</v>
      </c>
      <c r="M11" t="str">
        <f t="shared" si="0"/>
        <v>GCTGC</v>
      </c>
      <c r="N11" t="str">
        <f t="shared" si="4"/>
        <v>CTCAGGTGCTGC</v>
      </c>
      <c r="O11" s="2">
        <f t="shared" si="5"/>
        <v>154</v>
      </c>
      <c r="P11" t="str">
        <f t="shared" si="6"/>
        <v>AGAGCAGGTATGAGGCTCAGGTGCTGCTGTGCTCCTTTTCCG</v>
      </c>
    </row>
    <row r="12" spans="1:16" x14ac:dyDescent="0.25">
      <c r="A12" t="s">
        <v>1</v>
      </c>
      <c r="B12" t="s">
        <v>140</v>
      </c>
      <c r="C12" t="s">
        <v>29</v>
      </c>
      <c r="D12" t="str">
        <f t="shared" si="7"/>
        <v>A&gt;G</v>
      </c>
      <c r="E12">
        <v>3</v>
      </c>
      <c r="F12" t="str">
        <f t="shared" si="1"/>
        <v>chr9:132897305_chr9:132897371-132897372:A&gt;G</v>
      </c>
      <c r="G12" t="s">
        <v>177</v>
      </c>
      <c r="H12" t="s">
        <v>196</v>
      </c>
      <c r="I12" t="s">
        <v>326</v>
      </c>
      <c r="J12" t="s">
        <v>327</v>
      </c>
      <c r="K12" t="str">
        <f t="shared" si="2"/>
        <v>TGGGGCCTGAAGACCTGACTTTTCATCAGGAAAGGCTTTTGTGTTTTTATTAAGTGGAACTTCCTGTATTCTGGCTGGTCTGTATCTTTCAGAGGACAGCTGCAGGCCGCAGAGAGCAGGTATGAGGCTCAGGAGCTGCTGTGCTCCTTTTCCG</v>
      </c>
      <c r="L12" s="1" t="str">
        <f t="shared" si="3"/>
        <v>CTCAG</v>
      </c>
      <c r="M12" t="str">
        <f t="shared" si="0"/>
        <v>GCTGC</v>
      </c>
      <c r="N12" t="str">
        <f t="shared" si="4"/>
        <v>CTCAGGAGCTGC</v>
      </c>
      <c r="O12" s="2">
        <f t="shared" si="5"/>
        <v>154</v>
      </c>
      <c r="P12" t="str">
        <f t="shared" si="6"/>
        <v>AGAGCAGGTATGAGGCTCAGGAGCTGCTGTGCTCCTTTTCCG</v>
      </c>
    </row>
    <row r="13" spans="1:16" x14ac:dyDescent="0.25">
      <c r="A13" t="s">
        <v>2</v>
      </c>
      <c r="D13" t="s">
        <v>166</v>
      </c>
      <c r="F13" t="str">
        <f t="shared" si="1"/>
        <v>chr9:132897590_</v>
      </c>
      <c r="G13" s="3" t="s">
        <v>338</v>
      </c>
      <c r="H13" t="s">
        <v>197</v>
      </c>
      <c r="I13" t="s">
        <v>326</v>
      </c>
      <c r="J13" t="s">
        <v>327</v>
      </c>
      <c r="K13" t="str">
        <f t="shared" si="2"/>
        <v>TGGGGCCTGAAGACCTGACTTCAGTCCTTCTTACATTGTCTTTTCAAAATGGATACAGCATGTTTATTTTTTATAAGTACTAATTCCAGTCTTTTTTTTTTTTTTTTTTCAGGAAGTAGAAATGATGAAAGCCATGCTGCTGTGCTCCTTTTCCG</v>
      </c>
      <c r="L13" s="1" t="str">
        <f t="shared" si="3"/>
        <v>AAAGC</v>
      </c>
      <c r="M13" t="str">
        <f t="shared" si="0"/>
        <v>GCTGC</v>
      </c>
      <c r="N13" t="str">
        <f t="shared" si="4"/>
        <v>AAAGCCATGCTGC</v>
      </c>
      <c r="O13" s="2">
        <f t="shared" si="5"/>
        <v>155</v>
      </c>
      <c r="P13" t="str">
        <f>RIGHT(K13,43)</f>
        <v>GAAGTAGAAATGATGAAAGCCATGCTGCTGTGCTCCTTTTCCG</v>
      </c>
    </row>
    <row r="14" spans="1:16" x14ac:dyDescent="0.25">
      <c r="A14" t="s">
        <v>2</v>
      </c>
      <c r="B14" t="s">
        <v>141</v>
      </c>
      <c r="C14" t="s">
        <v>30</v>
      </c>
      <c r="D14" t="str">
        <f t="shared" si="7"/>
        <v>G&gt;A</v>
      </c>
      <c r="E14">
        <v>16</v>
      </c>
      <c r="F14" t="str">
        <f t="shared" si="1"/>
        <v>chr9:132897590_chr9:132897610-132897611:G&gt;A</v>
      </c>
      <c r="G14" s="3" t="s">
        <v>332</v>
      </c>
      <c r="H14" t="s">
        <v>198</v>
      </c>
      <c r="I14" t="s">
        <v>326</v>
      </c>
      <c r="J14" t="s">
        <v>327</v>
      </c>
      <c r="K14" t="str">
        <f t="shared" si="2"/>
        <v>TGGGGCCTGAAGACCTGACTTCAGTCCTTCTTACATTGTCTTTTCAAAATGGATACAGCATGTTTATTTTTTATAAGTACTAATTCCAGTCTTTTTTTTTTTTTTTTTTCAAGAAGTAGAAATGATGAAAGCTGAGCTGCTGTGCTCCTTTTCCG</v>
      </c>
      <c r="L14" s="1" t="str">
        <f t="shared" si="3"/>
        <v>AAAGC</v>
      </c>
      <c r="M14" t="str">
        <f t="shared" si="0"/>
        <v>GCTGC</v>
      </c>
      <c r="N14" t="str">
        <f t="shared" si="4"/>
        <v>AAAGCTGAGCTGC</v>
      </c>
      <c r="O14" s="2">
        <f t="shared" si="5"/>
        <v>155</v>
      </c>
      <c r="P14" t="str">
        <f t="shared" ref="P14:P29" si="8">RIGHT(K14,43)</f>
        <v>GAAGTAGAAATGATGAAAGCTGAGCTGCTGTGCTCCTTTTCCG</v>
      </c>
    </row>
    <row r="15" spans="1:16" x14ac:dyDescent="0.25">
      <c r="A15" t="s">
        <v>2</v>
      </c>
      <c r="B15" t="s">
        <v>141</v>
      </c>
      <c r="C15" t="s">
        <v>31</v>
      </c>
      <c r="D15" t="str">
        <f t="shared" si="7"/>
        <v>A&gt;G</v>
      </c>
      <c r="E15">
        <v>16</v>
      </c>
      <c r="F15" t="str">
        <f t="shared" si="1"/>
        <v>chr9:132897590_chr9:132897611-132897612:A&gt;G</v>
      </c>
      <c r="G15" s="3" t="s">
        <v>339</v>
      </c>
      <c r="H15" t="s">
        <v>199</v>
      </c>
      <c r="I15" t="s">
        <v>326</v>
      </c>
      <c r="J15" t="s">
        <v>327</v>
      </c>
      <c r="K15" t="str">
        <f t="shared" si="2"/>
        <v>TGGGGCCTGAAGACCTGACTTCAGTCCTTCTTACATTGTCTTTTCAAAATGGATACAGCATGTTTATTTTTTATAAGTACTAATTCCAGTCTTTTTTTTTTTTTTTTTTCGGGAAGTAGAAATGATGAAAGCGAGGCTGCTGTGCTCCTTTTCCG</v>
      </c>
      <c r="L15" s="1" t="str">
        <f t="shared" si="3"/>
        <v>AAAGC</v>
      </c>
      <c r="M15" t="str">
        <f t="shared" si="0"/>
        <v>GCTGC</v>
      </c>
      <c r="N15" t="str">
        <f t="shared" si="4"/>
        <v>AAAGCGAGGCTGC</v>
      </c>
      <c r="O15" s="2">
        <f t="shared" si="5"/>
        <v>155</v>
      </c>
      <c r="P15" t="str">
        <f t="shared" si="8"/>
        <v>GAAGTAGAAATGATGAAAGCGAGGCTGCTGTGCTCCTTTTCCG</v>
      </c>
    </row>
    <row r="16" spans="1:16" x14ac:dyDescent="0.25">
      <c r="A16" t="s">
        <v>2</v>
      </c>
      <c r="B16" t="s">
        <v>141</v>
      </c>
      <c r="C16" t="s">
        <v>32</v>
      </c>
      <c r="D16" t="str">
        <f t="shared" si="7"/>
        <v>C&gt;-</v>
      </c>
      <c r="E16">
        <v>16</v>
      </c>
      <c r="F16" t="str">
        <f t="shared" si="1"/>
        <v>chr9:132897590_chr9:132897612-132897613:C&gt;-</v>
      </c>
      <c r="G16" s="3" t="s">
        <v>335</v>
      </c>
      <c r="H16" t="s">
        <v>200</v>
      </c>
      <c r="I16" t="s">
        <v>326</v>
      </c>
      <c r="J16" t="s">
        <v>327</v>
      </c>
      <c r="K16" t="str">
        <f t="shared" si="2"/>
        <v>TGGGGCCTGAAGACCTGACTTCAGTCCTTCTTACATTGTCTTTTCAAAATGGATACAGCATGTTTATTTTTTATAAGTACTAATTCCAGTCTTTTTTTTTTTTTTTTTTAGGAAGTAGAAATGATGAAAGCCGTGCTGCTGTGCTCCTTTTCCG</v>
      </c>
      <c r="L16" s="1" t="str">
        <f t="shared" si="3"/>
        <v>AAAGC</v>
      </c>
      <c r="M16" t="str">
        <f t="shared" si="0"/>
        <v>GCTGC</v>
      </c>
      <c r="N16" t="str">
        <f t="shared" si="4"/>
        <v>AAAGCCGTGCTGC</v>
      </c>
      <c r="O16" s="2">
        <f t="shared" si="5"/>
        <v>154</v>
      </c>
      <c r="P16" t="str">
        <f t="shared" si="8"/>
        <v>GAAGTAGAAATGATGAAAGCCGTGCTGCTGTGCTCCTTTTCCG</v>
      </c>
    </row>
    <row r="17" spans="1:16" x14ac:dyDescent="0.25">
      <c r="A17" t="s">
        <v>2</v>
      </c>
      <c r="B17" t="s">
        <v>141</v>
      </c>
      <c r="C17" t="s">
        <v>33</v>
      </c>
      <c r="D17" t="str">
        <f t="shared" si="7"/>
        <v>C&gt;T</v>
      </c>
      <c r="E17">
        <v>16</v>
      </c>
      <c r="F17" t="str">
        <f t="shared" si="1"/>
        <v>chr9:132897590_chr9:132897612-132897613:C&gt;T</v>
      </c>
      <c r="G17" s="3" t="s">
        <v>340</v>
      </c>
      <c r="H17" t="s">
        <v>201</v>
      </c>
      <c r="I17" t="s">
        <v>326</v>
      </c>
      <c r="J17" t="s">
        <v>327</v>
      </c>
      <c r="K17" t="str">
        <f t="shared" si="2"/>
        <v>TGGGGCCTGAAGACCTGACTTCAGTCCTTCTTACATTGTCTTTTCAAAATGGATACAGCATGTTTATTTTTTATAAGTACTAATTCCAGTCTTTTTTTTTTTTTTTTTTTAGGAAGTAGAAATGATGAAAGCTCGGCTGCTGTGCTCCTTTTCCG</v>
      </c>
      <c r="L17" s="1" t="str">
        <f t="shared" si="3"/>
        <v>AAAGC</v>
      </c>
      <c r="M17" t="str">
        <f t="shared" si="0"/>
        <v>GCTGC</v>
      </c>
      <c r="N17" t="str">
        <f t="shared" si="4"/>
        <v>AAAGCTCGGCTGC</v>
      </c>
      <c r="O17" s="2">
        <f t="shared" si="5"/>
        <v>155</v>
      </c>
      <c r="P17" t="str">
        <f t="shared" si="8"/>
        <v>GAAGTAGAAATGATGAAAGCTCGGCTGCTGTGCTCCTTTTCCG</v>
      </c>
    </row>
    <row r="18" spans="1:16" x14ac:dyDescent="0.25">
      <c r="A18" t="s">
        <v>2</v>
      </c>
      <c r="B18" t="s">
        <v>141</v>
      </c>
      <c r="C18" t="s">
        <v>34</v>
      </c>
      <c r="D18" t="str">
        <f>RIGHT(C18,4)</f>
        <v>-&gt;TT</v>
      </c>
      <c r="E18">
        <v>16</v>
      </c>
      <c r="F18" t="str">
        <f t="shared" si="1"/>
        <v>chr9:132897590_chr9:132897612-132897612:-&gt;TT</v>
      </c>
      <c r="G18" s="3" t="s">
        <v>331</v>
      </c>
      <c r="H18" t="s">
        <v>202</v>
      </c>
      <c r="I18" t="s">
        <v>326</v>
      </c>
      <c r="J18" t="s">
        <v>327</v>
      </c>
      <c r="K18" t="str">
        <f t="shared" si="2"/>
        <v>TGGGGCCTGAAGACCTGACTTCAGTCCTTCTTACATTGTCTTTTCAAAATGGATACAGCATGTTTATTTTTTATAAGTACTAATTCCAGTCTTTTTTTTTTTTTTTTTTCTTAGGAAGTAGAAATGATGAAAGCTATGCTGCTGTGCTCCTTTTCCG</v>
      </c>
      <c r="L18" s="1" t="str">
        <f t="shared" si="3"/>
        <v>AAAGC</v>
      </c>
      <c r="M18" t="str">
        <f t="shared" si="0"/>
        <v>GCTGC</v>
      </c>
      <c r="N18" t="str">
        <f t="shared" si="4"/>
        <v>AAAGCTATGCTGC</v>
      </c>
      <c r="O18" s="2">
        <f t="shared" si="5"/>
        <v>157</v>
      </c>
      <c r="P18" t="str">
        <f t="shared" si="8"/>
        <v>GAAGTAGAAATGATGAAAGCTATGCTGCTGTGCTCCTTTTCCG</v>
      </c>
    </row>
    <row r="19" spans="1:16" x14ac:dyDescent="0.25">
      <c r="A19" t="s">
        <v>2</v>
      </c>
      <c r="B19" t="s">
        <v>141</v>
      </c>
      <c r="C19" t="s">
        <v>35</v>
      </c>
      <c r="D19" t="str">
        <f>RIGHT(C19,4)</f>
        <v>-&gt;TA</v>
      </c>
      <c r="E19">
        <v>16</v>
      </c>
      <c r="F19" t="str">
        <f t="shared" si="1"/>
        <v>chr9:132897590_chr9:132897612-132897612:-&gt;TA</v>
      </c>
      <c r="G19" s="3" t="s">
        <v>180</v>
      </c>
      <c r="H19" t="s">
        <v>203</v>
      </c>
      <c r="I19" t="s">
        <v>326</v>
      </c>
      <c r="J19" t="s">
        <v>327</v>
      </c>
      <c r="K19" t="str">
        <f t="shared" si="2"/>
        <v>TGGGGCCTGAAGACCTGACTTCAGTCCTTCTTACATTGTCTTTTCAAAATGGATACAGCATGTTTATTTTTTATAAGTACTAATTCCAGTCTTTTTTTTTTTTTTTTTTCTAAGGAAGTAGAAATGATGAAAGCAGTGCTGCTGTGCTCCTTTTCCG</v>
      </c>
      <c r="L19" s="1" t="str">
        <f t="shared" si="3"/>
        <v>AAAGC</v>
      </c>
      <c r="M19" t="str">
        <f t="shared" si="0"/>
        <v>GCTGC</v>
      </c>
      <c r="N19" t="str">
        <f t="shared" si="4"/>
        <v>AAAGCAGTGCTGC</v>
      </c>
      <c r="O19" s="2">
        <f t="shared" si="5"/>
        <v>157</v>
      </c>
      <c r="P19" t="str">
        <f t="shared" si="8"/>
        <v>GAAGTAGAAATGATGAAAGCAGTGCTGCTGTGCTCCTTTTCCG</v>
      </c>
    </row>
    <row r="20" spans="1:16" x14ac:dyDescent="0.25">
      <c r="A20" t="s">
        <v>2</v>
      </c>
      <c r="B20" t="s">
        <v>141</v>
      </c>
      <c r="C20" t="s">
        <v>36</v>
      </c>
      <c r="D20" t="str">
        <f t="shared" si="7"/>
        <v>-&gt;C</v>
      </c>
      <c r="E20">
        <v>16</v>
      </c>
      <c r="F20" t="str">
        <f t="shared" si="1"/>
        <v>chr9:132897590_chr9:132897612-132897612:-&gt;C</v>
      </c>
      <c r="G20" s="3" t="s">
        <v>333</v>
      </c>
      <c r="H20" t="s">
        <v>204</v>
      </c>
      <c r="I20" t="s">
        <v>326</v>
      </c>
      <c r="J20" t="s">
        <v>327</v>
      </c>
      <c r="K20" t="str">
        <f t="shared" si="2"/>
        <v>TGGGGCCTGAAGACCTGACTTCAGTCCTTCTTACATTGTCTTTTCAAAATGGATACAGCATGTTTATTTTTTATAAGTACTAATTCCAGTCTTTTTTTTTTTTTTTTTTCCAGGAAGTAGAAATGATGAAAGCGTAGCTGCTGTGCTCCTTTTCCG</v>
      </c>
      <c r="L20" s="1" t="str">
        <f t="shared" si="3"/>
        <v>AAAGC</v>
      </c>
      <c r="M20" t="str">
        <f t="shared" si="0"/>
        <v>GCTGC</v>
      </c>
      <c r="N20" t="str">
        <f t="shared" si="4"/>
        <v>AAAGCGTAGCTGC</v>
      </c>
      <c r="O20" s="2">
        <f t="shared" si="5"/>
        <v>156</v>
      </c>
      <c r="P20" t="str">
        <f t="shared" si="8"/>
        <v>GAAGTAGAAATGATGAAAGCGTAGCTGCTGTGCTCCTTTTCCG</v>
      </c>
    </row>
    <row r="21" spans="1:16" x14ac:dyDescent="0.25">
      <c r="A21" t="s">
        <v>2</v>
      </c>
      <c r="B21" t="s">
        <v>141</v>
      </c>
      <c r="C21" t="s">
        <v>37</v>
      </c>
      <c r="D21" t="str">
        <f>RIGHT(C21,4)</f>
        <v>-&gt;TC</v>
      </c>
      <c r="E21">
        <v>16</v>
      </c>
      <c r="F21" t="str">
        <f t="shared" si="1"/>
        <v>chr9:132897590_chr9:132897612-132897612:-&gt;TC</v>
      </c>
      <c r="G21" s="3" t="s">
        <v>181</v>
      </c>
      <c r="H21" t="s">
        <v>205</v>
      </c>
      <c r="I21" t="s">
        <v>326</v>
      </c>
      <c r="J21" t="s">
        <v>327</v>
      </c>
      <c r="K21" t="str">
        <f t="shared" si="2"/>
        <v>TGGGGCCTGAAGACCTGACTTCAGTCCTTCTTACATTGTCTTTTCAAAATGGATACAGCATGTTTATTTTTTATAAGTACTAATTCCAGTCTTTTTTTTTTTTTTTTTTCTCAGGAAGTAGAAATGATGAAAGCATAGCTGCTGTGCTCCTTTTCCG</v>
      </c>
      <c r="L21" s="1" t="str">
        <f t="shared" si="3"/>
        <v>AAAGC</v>
      </c>
      <c r="M21" t="str">
        <f t="shared" si="0"/>
        <v>GCTGC</v>
      </c>
      <c r="N21" t="str">
        <f t="shared" si="4"/>
        <v>AAAGCATAGCTGC</v>
      </c>
      <c r="O21" s="2">
        <f t="shared" si="5"/>
        <v>157</v>
      </c>
      <c r="P21" t="str">
        <f t="shared" si="8"/>
        <v>GAAGTAGAAATGATGAAAGCATAGCTGCTGTGCTCCTTTTCCG</v>
      </c>
    </row>
    <row r="22" spans="1:16" x14ac:dyDescent="0.25">
      <c r="A22" t="s">
        <v>2</v>
      </c>
      <c r="B22" t="s">
        <v>141</v>
      </c>
      <c r="C22" t="s">
        <v>38</v>
      </c>
      <c r="D22" t="str">
        <f t="shared" ref="D22:D23" si="9">RIGHT(C22,4)</f>
        <v>TT&gt;-</v>
      </c>
      <c r="E22">
        <v>16</v>
      </c>
      <c r="F22" t="str">
        <f t="shared" si="1"/>
        <v>chr9:132897590_chr9:132897613-132897616:TTT&gt;-</v>
      </c>
      <c r="G22" s="3" t="s">
        <v>179</v>
      </c>
      <c r="H22" t="s">
        <v>206</v>
      </c>
      <c r="I22" t="s">
        <v>326</v>
      </c>
      <c r="J22" t="s">
        <v>327</v>
      </c>
      <c r="K22" t="str">
        <f t="shared" si="2"/>
        <v>TGGGGCCTGAAGACCTGACTTCAGTCCTTCTTACATTGTCTTTTCAAAATGGATACAGCATGTTTATTTTTTATAAGTACTAATTCCAGTCTTTTTTTTTTTTTTTCAGGAAGTAGAAATGATGAAAGCAGCGCTGCTGTGCTCCTTTTCCG</v>
      </c>
      <c r="L22" s="1" t="str">
        <f t="shared" si="3"/>
        <v>AAAGC</v>
      </c>
      <c r="M22" t="str">
        <f t="shared" si="0"/>
        <v>GCTGC</v>
      </c>
      <c r="N22" t="str">
        <f t="shared" si="4"/>
        <v>AAAGCAGCGCTGC</v>
      </c>
      <c r="O22" s="2">
        <f t="shared" si="5"/>
        <v>152</v>
      </c>
      <c r="P22" t="str">
        <f t="shared" si="8"/>
        <v>GAAGTAGAAATGATGAAAGCAGCGCTGCTGTGCTCCTTTTCCG</v>
      </c>
    </row>
    <row r="23" spans="1:16" x14ac:dyDescent="0.25">
      <c r="A23" t="s">
        <v>2</v>
      </c>
      <c r="B23" t="s">
        <v>141</v>
      </c>
      <c r="C23" t="s">
        <v>39</v>
      </c>
      <c r="D23" t="str">
        <f t="shared" si="9"/>
        <v>TT&gt;-</v>
      </c>
      <c r="E23">
        <v>16</v>
      </c>
      <c r="F23" t="str">
        <f t="shared" si="1"/>
        <v>chr9:132897590_chr9:132897613-132897615:TT&gt;-</v>
      </c>
      <c r="G23" s="3" t="s">
        <v>334</v>
      </c>
      <c r="H23" t="s">
        <v>207</v>
      </c>
      <c r="I23" t="s">
        <v>326</v>
      </c>
      <c r="J23" t="s">
        <v>327</v>
      </c>
      <c r="K23" t="str">
        <f t="shared" si="2"/>
        <v>TGGGGCCTGAAGACCTGACTTCAGTCCTTCTTACATTGTCTTTTCAAAATGGATACAGCATGTTTATTTTTTATAAGTACTAATTCCAGTCTTTTTTTTTTTTTTTTCAGGAAGTAGAAATGATGAAAGCCTGGCTGCTGTGCTCCTTTTCCG</v>
      </c>
      <c r="L23" s="1" t="str">
        <f t="shared" si="3"/>
        <v>AAAGC</v>
      </c>
      <c r="M23" t="str">
        <f t="shared" si="0"/>
        <v>GCTGC</v>
      </c>
      <c r="N23" t="str">
        <f t="shared" si="4"/>
        <v>AAAGCCTGGCTGC</v>
      </c>
      <c r="O23" s="2">
        <f t="shared" si="5"/>
        <v>153</v>
      </c>
      <c r="P23" t="str">
        <f t="shared" si="8"/>
        <v>GAAGTAGAAATGATGAAAGCCTGGCTGCTGTGCTCCTTTTCCG</v>
      </c>
    </row>
    <row r="24" spans="1:16" x14ac:dyDescent="0.25">
      <c r="A24" t="s">
        <v>2</v>
      </c>
      <c r="B24" t="s">
        <v>141</v>
      </c>
      <c r="C24" t="s">
        <v>40</v>
      </c>
      <c r="D24" t="str">
        <f t="shared" si="7"/>
        <v>T&gt;-</v>
      </c>
      <c r="E24">
        <v>16</v>
      </c>
      <c r="F24" t="str">
        <f t="shared" si="1"/>
        <v>chr9:132897590_chr9:132897613-132897614:T&gt;-</v>
      </c>
      <c r="G24" s="3" t="s">
        <v>341</v>
      </c>
      <c r="H24" t="s">
        <v>208</v>
      </c>
      <c r="I24" t="s">
        <v>326</v>
      </c>
      <c r="J24" t="s">
        <v>327</v>
      </c>
      <c r="K24" t="str">
        <f t="shared" si="2"/>
        <v>TGGGGCCTGAAGACCTGACTTCAGTCCTTCTTACATTGTCTTTTCAAAATGGATACAGCATGTTTATTTTTTATAAGTACTAATTCCAGTCTTTTTTTTTTTTTTTTTCAGGAAGTAGAAATGATGAAAGCACTGCTGCTGTGCTCCTTTTCCG</v>
      </c>
      <c r="L24" s="1" t="str">
        <f t="shared" si="3"/>
        <v>AAAGC</v>
      </c>
      <c r="M24" t="str">
        <f t="shared" si="0"/>
        <v>GCTGC</v>
      </c>
      <c r="N24" t="str">
        <f t="shared" si="4"/>
        <v>AAAGCACTGCTGC</v>
      </c>
      <c r="O24" s="2">
        <f t="shared" si="5"/>
        <v>154</v>
      </c>
      <c r="P24" t="str">
        <f t="shared" si="8"/>
        <v>GAAGTAGAAATGATGAAAGCACTGCTGCTGTGCTCCTTTTCCG</v>
      </c>
    </row>
    <row r="25" spans="1:16" x14ac:dyDescent="0.25">
      <c r="A25" t="s">
        <v>2</v>
      </c>
      <c r="B25" t="s">
        <v>141</v>
      </c>
      <c r="C25" t="s">
        <v>41</v>
      </c>
      <c r="D25" t="str">
        <f t="shared" si="7"/>
        <v>T&gt;C</v>
      </c>
      <c r="E25">
        <v>16</v>
      </c>
      <c r="F25" t="str">
        <f t="shared" si="1"/>
        <v>chr9:132897590_chr9:132897613-132897614:T&gt;C</v>
      </c>
      <c r="G25" s="3" t="s">
        <v>342</v>
      </c>
      <c r="H25" t="s">
        <v>209</v>
      </c>
      <c r="I25" t="s">
        <v>326</v>
      </c>
      <c r="J25" t="s">
        <v>327</v>
      </c>
      <c r="K25" t="str">
        <f t="shared" si="2"/>
        <v>TGGGGCCTGAAGACCTGACTTCAGTCCTTCTTACATTGTCTTTTCAAAATGGATACAGCATGTTTATTTTTTATAAGTACTAATTCCAGTCTTTTTTTTTTTTTTTTTCCAGGAAGTAGAAATGATGAAAGCGCAGCTGCTGTGCTCCTTTTCCG</v>
      </c>
      <c r="L25" s="1" t="str">
        <f t="shared" si="3"/>
        <v>AAAGC</v>
      </c>
      <c r="M25" t="str">
        <f t="shared" si="0"/>
        <v>GCTGC</v>
      </c>
      <c r="N25" t="str">
        <f t="shared" si="4"/>
        <v>AAAGCGCAGCTGC</v>
      </c>
      <c r="O25" s="2">
        <f t="shared" si="5"/>
        <v>155</v>
      </c>
      <c r="P25" t="str">
        <f t="shared" si="8"/>
        <v>GAAGTAGAAATGATGAAAGCGCAGCTGCTGTGCTCCTTTTCCG</v>
      </c>
    </row>
    <row r="26" spans="1:16" x14ac:dyDescent="0.25">
      <c r="A26" t="s">
        <v>2</v>
      </c>
      <c r="B26" t="s">
        <v>141</v>
      </c>
      <c r="C26" t="s">
        <v>42</v>
      </c>
      <c r="D26" t="str">
        <f>RIGHT(C26,4)</f>
        <v>-&gt;TC</v>
      </c>
      <c r="E26">
        <v>16</v>
      </c>
      <c r="F26" t="str">
        <f t="shared" si="1"/>
        <v>chr9:132897590_chr9:132897613-132897613:-&gt;TC</v>
      </c>
      <c r="G26" s="3" t="s">
        <v>343</v>
      </c>
      <c r="H26" t="s">
        <v>210</v>
      </c>
      <c r="I26" t="s">
        <v>326</v>
      </c>
      <c r="J26" t="s">
        <v>327</v>
      </c>
      <c r="K26" t="str">
        <f t="shared" si="2"/>
        <v>TGGGGCCTGAAGACCTGACTTCAGTCCTTCTTACATTGTCTTTTCAAAATGGATACAGCATGTTTATTTTTTATAAGTACTAATTCCAGTCTTTTTTTTTTTTTTTTTTTCCAGGAAGTAGAAATGATGAAAGCCGAGCTGCTGTGCTCCTTTTCCG</v>
      </c>
      <c r="L26" s="1" t="str">
        <f t="shared" si="3"/>
        <v>AAAGC</v>
      </c>
      <c r="M26" t="str">
        <f t="shared" si="0"/>
        <v>GCTGC</v>
      </c>
      <c r="N26" t="str">
        <f t="shared" si="4"/>
        <v>AAAGCCGAGCTGC</v>
      </c>
      <c r="O26" s="2">
        <f t="shared" si="5"/>
        <v>157</v>
      </c>
      <c r="P26" t="str">
        <f t="shared" si="8"/>
        <v>GAAGTAGAAATGATGAAAGCCGAGCTGCTGTGCTCCTTTTCCG</v>
      </c>
    </row>
    <row r="27" spans="1:16" x14ac:dyDescent="0.25">
      <c r="A27" t="s">
        <v>2</v>
      </c>
      <c r="B27" t="s">
        <v>141</v>
      </c>
      <c r="C27" t="s">
        <v>43</v>
      </c>
      <c r="D27" t="str">
        <f t="shared" si="7"/>
        <v>-&gt;T</v>
      </c>
      <c r="E27">
        <v>16</v>
      </c>
      <c r="F27" t="str">
        <f t="shared" si="1"/>
        <v>chr9:132897590_chr9:132897613-132897613:-&gt;T</v>
      </c>
      <c r="G27" s="3" t="s">
        <v>344</v>
      </c>
      <c r="H27" t="s">
        <v>211</v>
      </c>
      <c r="I27" t="s">
        <v>326</v>
      </c>
      <c r="J27" t="s">
        <v>327</v>
      </c>
      <c r="K27" t="str">
        <f t="shared" si="2"/>
        <v>TGGGGCCTGAAGACCTGACTTCAGTCCTTCTTACATTGTCTTTTCAAAATGGATACAGCATGTTTATTTTTTATAAGTACTAATTCCAGTCTTTTTTTTTTTTTTTTTTTCAGGAAGTAGAAATGATGAAAGCGGAGCTGCTGTGCTCCTTTTCCG</v>
      </c>
      <c r="L27" s="1" t="str">
        <f t="shared" si="3"/>
        <v>AAAGC</v>
      </c>
      <c r="M27" t="str">
        <f t="shared" si="0"/>
        <v>GCTGC</v>
      </c>
      <c r="N27" t="str">
        <f t="shared" si="4"/>
        <v>AAAGCGGAGCTGC</v>
      </c>
      <c r="O27" s="2">
        <f t="shared" si="5"/>
        <v>156</v>
      </c>
      <c r="P27" t="str">
        <f t="shared" si="8"/>
        <v>GAAGTAGAAATGATGAAAGCGGAGCTGCTGTGCTCCTTTTCCG</v>
      </c>
    </row>
    <row r="28" spans="1:16" x14ac:dyDescent="0.25">
      <c r="A28" t="s">
        <v>2</v>
      </c>
      <c r="B28" t="s">
        <v>141</v>
      </c>
      <c r="C28" t="s">
        <v>44</v>
      </c>
      <c r="D28" t="str">
        <f>RIGHT(C28,5)</f>
        <v>-&gt;TTT</v>
      </c>
      <c r="E28">
        <v>16</v>
      </c>
      <c r="F28" t="str">
        <f t="shared" si="1"/>
        <v>chr9:132897590_chr9:132897613-132897613:-&gt;TTT</v>
      </c>
      <c r="G28" s="3" t="s">
        <v>345</v>
      </c>
      <c r="H28" t="s">
        <v>212</v>
      </c>
      <c r="I28" t="s">
        <v>326</v>
      </c>
      <c r="J28" t="s">
        <v>327</v>
      </c>
      <c r="K28" t="str">
        <f t="shared" si="2"/>
        <v>TGGGGCCTGAAGACCTGACTTCAGTCCTTCTTACATTGTCTTTTCAAAATGGATACAGCATGTTTATTTTTTATAAGTACTAATTCCAGTCTTTTTTTTTTTTTTTTTTTTTCAGGAAGTAGAAATGATGAAAGCGATGCTGCTGTGCTCCTTTTCCG</v>
      </c>
      <c r="L28" s="1" t="str">
        <f t="shared" si="3"/>
        <v>AAAGC</v>
      </c>
      <c r="M28" t="str">
        <f t="shared" si="0"/>
        <v>GCTGC</v>
      </c>
      <c r="N28" t="str">
        <f t="shared" si="4"/>
        <v>AAAGCGATGCTGC</v>
      </c>
      <c r="O28" s="2">
        <f t="shared" si="5"/>
        <v>158</v>
      </c>
      <c r="P28" t="str">
        <f t="shared" si="8"/>
        <v>GAAGTAGAAATGATGAAAGCGATGCTGCTGTGCTCCTTTTCCG</v>
      </c>
    </row>
    <row r="29" spans="1:16" x14ac:dyDescent="0.25">
      <c r="A29" t="s">
        <v>2</v>
      </c>
      <c r="B29" t="s">
        <v>141</v>
      </c>
      <c r="C29" t="s">
        <v>45</v>
      </c>
      <c r="D29" t="str">
        <f>RIGHT(C29,4)</f>
        <v>-&gt;TT</v>
      </c>
      <c r="E29">
        <v>16</v>
      </c>
      <c r="F29" t="str">
        <f t="shared" si="1"/>
        <v>chr9:132897590_chr9:132897613-132897613:-&gt;TT</v>
      </c>
      <c r="G29" s="3" t="s">
        <v>336</v>
      </c>
      <c r="H29" t="s">
        <v>213</v>
      </c>
      <c r="I29" t="s">
        <v>326</v>
      </c>
      <c r="J29" t="s">
        <v>327</v>
      </c>
      <c r="K29" t="str">
        <f t="shared" si="2"/>
        <v>TGGGGCCTGAAGACCTGACTTCAGTCCTTCTTACATTGTCTTTTCAAAATGGATACAGCATGTTTATTTTTTATAAGTACTAATTCCAGTCTTTTTTTTTTTTTTTTTTTTCAGGAAGTAGAAATGATGAAAGCTGCGCTGCTGTGCTCCTTTTCCG</v>
      </c>
      <c r="L29" s="1" t="str">
        <f t="shared" si="3"/>
        <v>AAAGC</v>
      </c>
      <c r="M29" t="str">
        <f t="shared" si="0"/>
        <v>GCTGC</v>
      </c>
      <c r="N29" t="str">
        <f t="shared" si="4"/>
        <v>AAAGCTGCGCTGC</v>
      </c>
      <c r="O29" s="2">
        <f t="shared" si="5"/>
        <v>157</v>
      </c>
      <c r="P29" t="str">
        <f t="shared" si="8"/>
        <v>GAAGTAGAAATGATGAAAGCTGCGCTGCTGTGCTCCTTTTCCG</v>
      </c>
    </row>
    <row r="30" spans="1:16" x14ac:dyDescent="0.25">
      <c r="A30" t="s">
        <v>3</v>
      </c>
      <c r="D30" t="s">
        <v>167</v>
      </c>
      <c r="F30" t="str">
        <f t="shared" si="1"/>
        <v>chr9:132900817_</v>
      </c>
      <c r="G30" t="s">
        <v>172</v>
      </c>
      <c r="H30" t="s">
        <v>214</v>
      </c>
      <c r="I30" t="s">
        <v>326</v>
      </c>
      <c r="J30" t="s">
        <v>327</v>
      </c>
      <c r="K30" t="str">
        <f t="shared" si="2"/>
        <v>TGGGGCCTGAAGACCTGACTTAGTGTGCTCCTAGCTGATTCCCTGTTTAATGACGTCTATGTGCTAGTTTTATGTCGTCGGATTTTTCACTTTGCTCATGTTTTTTGGTTAGCTCTCAAACAGTGAGTCGGTAGGCTGCTGTGCTCCTTTTCCG</v>
      </c>
      <c r="L30" s="1" t="str">
        <f t="shared" si="3"/>
        <v>TCGGT</v>
      </c>
      <c r="M30" t="str">
        <f t="shared" si="0"/>
        <v>GCTGC</v>
      </c>
      <c r="N30" t="str">
        <f t="shared" si="4"/>
        <v>TCGGTAGGCTGC</v>
      </c>
      <c r="O30" s="2">
        <f t="shared" si="5"/>
        <v>154</v>
      </c>
      <c r="P30" t="str">
        <f>RIGHT(K30,42)</f>
        <v>CTCTCAAACAGTGAGTCGGTAGGCTGCTGTGCTCCTTTTCCG</v>
      </c>
    </row>
    <row r="31" spans="1:16" x14ac:dyDescent="0.25">
      <c r="A31" t="s">
        <v>3</v>
      </c>
      <c r="B31" t="s">
        <v>142</v>
      </c>
      <c r="C31" t="s">
        <v>46</v>
      </c>
      <c r="D31" t="str">
        <f t="shared" si="7"/>
        <v>G&gt;T</v>
      </c>
      <c r="E31">
        <v>10</v>
      </c>
      <c r="F31" t="str">
        <f t="shared" si="1"/>
        <v>chr9:132900817_chr9:132900837-132900838:G&gt;T</v>
      </c>
      <c r="G31" t="s">
        <v>174</v>
      </c>
      <c r="H31" t="s">
        <v>215</v>
      </c>
      <c r="I31" t="s">
        <v>326</v>
      </c>
      <c r="J31" t="s">
        <v>327</v>
      </c>
      <c r="K31" t="str">
        <f t="shared" si="2"/>
        <v>TGGGGCCTGAAGACCTGACTTAGTGTGCTCCTAGCTGATTCCCTGTTTAATGACGTCTATGTGCTAGTTTTATGTCGTCGGATTTTTCACTTTGCTCATGTTTTTTGGTTATCTCTCAAACAGTGAGTCGGTCAGCTGCTGTGCTCCTTTTCCG</v>
      </c>
      <c r="L31" s="1" t="str">
        <f t="shared" si="3"/>
        <v>TCGGT</v>
      </c>
      <c r="M31" t="str">
        <f t="shared" si="0"/>
        <v>GCTGC</v>
      </c>
      <c r="N31" t="str">
        <f t="shared" si="4"/>
        <v>TCGGTCAGCTGC</v>
      </c>
      <c r="O31" s="2">
        <f t="shared" si="5"/>
        <v>154</v>
      </c>
      <c r="P31" t="str">
        <f t="shared" ref="P31:P94" si="10">RIGHT(K31,42)</f>
        <v>CTCTCAAACAGTGAGTCGGTCAGCTGCTGTGCTCCTTTTCCG</v>
      </c>
    </row>
    <row r="32" spans="1:16" x14ac:dyDescent="0.25">
      <c r="A32" t="s">
        <v>3</v>
      </c>
      <c r="B32" t="s">
        <v>142</v>
      </c>
      <c r="C32" t="s">
        <v>47</v>
      </c>
      <c r="D32" t="str">
        <f t="shared" si="7"/>
        <v>G&gt;C</v>
      </c>
      <c r="E32">
        <v>10</v>
      </c>
      <c r="F32" t="str">
        <f t="shared" si="1"/>
        <v>chr9:132900817_chr9:132900837-132900838:G&gt;C</v>
      </c>
      <c r="G32" t="s">
        <v>173</v>
      </c>
      <c r="H32" t="s">
        <v>216</v>
      </c>
      <c r="I32" t="s">
        <v>326</v>
      </c>
      <c r="J32" t="s">
        <v>327</v>
      </c>
      <c r="K32" t="str">
        <f t="shared" si="2"/>
        <v>TGGGGCCTGAAGACCTGACTTAGTGTGCTCCTAGCTGATTCCCTGTTTAATGACGTCTATGTGCTAGTTTTATGTCGTCGGATTTTTCACTTTGCTCATGTTTTTTGGTTACCTCTCAAACAGTGAGTCGGTATGCTGCTGTGCTCCTTTTCCG</v>
      </c>
      <c r="L32" s="1" t="str">
        <f t="shared" si="3"/>
        <v>TCGGT</v>
      </c>
      <c r="M32" t="str">
        <f t="shared" si="0"/>
        <v>GCTGC</v>
      </c>
      <c r="N32" t="str">
        <f t="shared" si="4"/>
        <v>TCGGTATGCTGC</v>
      </c>
      <c r="O32" s="2">
        <f t="shared" si="5"/>
        <v>154</v>
      </c>
      <c r="P32" t="str">
        <f t="shared" si="10"/>
        <v>CTCTCAAACAGTGAGTCGGTATGCTGCTGTGCTCCTTTTCCG</v>
      </c>
    </row>
    <row r="33" spans="1:16" x14ac:dyDescent="0.25">
      <c r="A33" t="s">
        <v>3</v>
      </c>
      <c r="B33" t="s">
        <v>142</v>
      </c>
      <c r="C33" t="s">
        <v>48</v>
      </c>
      <c r="D33" t="str">
        <f t="shared" si="7"/>
        <v>G&gt;A</v>
      </c>
      <c r="E33">
        <v>10</v>
      </c>
      <c r="F33" t="str">
        <f t="shared" si="1"/>
        <v>chr9:132900817_chr9:132900837-132900838:G&gt;A</v>
      </c>
      <c r="G33" t="s">
        <v>346</v>
      </c>
      <c r="H33" t="s">
        <v>217</v>
      </c>
      <c r="I33" t="s">
        <v>326</v>
      </c>
      <c r="J33" t="s">
        <v>327</v>
      </c>
      <c r="K33" t="str">
        <f t="shared" si="2"/>
        <v>TGGGGCCTGAAGACCTGACTTAGTGTGCTCCTAGCTGATTCCCTGTTTAATGACGTCTATGTGCTAGTTTTATGTCGTCGGATTTTTCACTTTGCTCATGTTTTTTGGTTAACTCTCAAACAGTGAGTCGGTTGGCTGCTGTGCTCCTTTTCCG</v>
      </c>
      <c r="L33" s="1" t="str">
        <f t="shared" si="3"/>
        <v>TCGGT</v>
      </c>
      <c r="M33" t="str">
        <f t="shared" si="0"/>
        <v>GCTGC</v>
      </c>
      <c r="N33" t="str">
        <f t="shared" si="4"/>
        <v>TCGGTTGGCTGC</v>
      </c>
      <c r="O33" s="2">
        <f t="shared" si="5"/>
        <v>154</v>
      </c>
      <c r="P33" t="str">
        <f t="shared" si="10"/>
        <v>CTCTCAAACAGTGAGTCGGTTGGCTGCTGTGCTCCTTTTCCG</v>
      </c>
    </row>
    <row r="34" spans="1:16" x14ac:dyDescent="0.25">
      <c r="A34" t="s">
        <v>3</v>
      </c>
      <c r="B34" t="s">
        <v>142</v>
      </c>
      <c r="C34" t="s">
        <v>49</v>
      </c>
      <c r="D34" t="str">
        <f t="shared" si="7"/>
        <v>A&gt;G</v>
      </c>
      <c r="E34">
        <v>10</v>
      </c>
      <c r="F34" t="str">
        <f t="shared" si="1"/>
        <v>chr9:132900817_chr9:132900838-132900839:A&gt;G</v>
      </c>
      <c r="G34" t="s">
        <v>176</v>
      </c>
      <c r="H34" t="s">
        <v>218</v>
      </c>
      <c r="I34" t="s">
        <v>326</v>
      </c>
      <c r="J34" t="s">
        <v>327</v>
      </c>
      <c r="K34" t="str">
        <f t="shared" ref="K34:K65" si="11">(I34&amp;H34&amp;G34&amp;J34)</f>
        <v>TGGGGCCTGAAGACCTGACTTAGTGTGCTCCTAGCTGATTCCCTGTTTAATGACGTCTATGTGCTAGTTTTATGTCGTCGGATTTTTCACTTTGCTCATGTTTTTTGGTTGGCTCTCAAACAGTGAGTCGGTCTGCTGCTGTGCTCCTTTTCCG</v>
      </c>
      <c r="L34" s="1" t="str">
        <f t="shared" si="3"/>
        <v>TCGGT</v>
      </c>
      <c r="M34" t="str">
        <f t="shared" ref="M34:M65" si="12">LEFT(J34,5)</f>
        <v>GCTGC</v>
      </c>
      <c r="N34" t="str">
        <f t="shared" si="4"/>
        <v>TCGGTCTGCTGC</v>
      </c>
      <c r="O34" s="2">
        <f t="shared" si="5"/>
        <v>154</v>
      </c>
      <c r="P34" t="str">
        <f t="shared" si="10"/>
        <v>CTCTCAAACAGTGAGTCGGTCTGCTGCTGTGCTCCTTTTCCG</v>
      </c>
    </row>
    <row r="35" spans="1:16" x14ac:dyDescent="0.25">
      <c r="A35" t="s">
        <v>3</v>
      </c>
      <c r="B35" t="s">
        <v>142</v>
      </c>
      <c r="C35" t="s">
        <v>50</v>
      </c>
      <c r="D35" t="str">
        <f t="shared" si="7"/>
        <v>A&gt;-</v>
      </c>
      <c r="E35">
        <v>10</v>
      </c>
      <c r="F35" t="str">
        <f t="shared" si="1"/>
        <v>chr9:132900817_chr9:132900838-132900839:A&gt;-</v>
      </c>
      <c r="G35" t="s">
        <v>178</v>
      </c>
      <c r="H35" t="s">
        <v>219</v>
      </c>
      <c r="I35" t="s">
        <v>326</v>
      </c>
      <c r="J35" t="s">
        <v>327</v>
      </c>
      <c r="K35" t="str">
        <f t="shared" si="11"/>
        <v>TGGGGCCTGAAGACCTGACTTAGTGTGCTCCTAGCTGATTCCCTGTTTAATGACGTCTATGTGCTAGTTTTATGTCGTCGGATTTTTCACTTTGCTCATGTTTTTTGGTTGCTCTCAAACAGTGAGTCGGTGCGCTGCTGTGCTCCTTTTCCG</v>
      </c>
      <c r="L35" s="1" t="str">
        <f t="shared" si="3"/>
        <v>TCGGT</v>
      </c>
      <c r="M35" t="str">
        <f t="shared" si="12"/>
        <v>GCTGC</v>
      </c>
      <c r="N35" t="str">
        <f t="shared" si="4"/>
        <v>TCGGTGCGCTGC</v>
      </c>
      <c r="O35" s="2">
        <f t="shared" si="5"/>
        <v>153</v>
      </c>
      <c r="P35" t="str">
        <f t="shared" si="10"/>
        <v>CTCTCAAACAGTGAGTCGGTGCGCTGCTGTGCTCCTTTTCCG</v>
      </c>
    </row>
    <row r="36" spans="1:16" x14ac:dyDescent="0.25">
      <c r="A36" t="s">
        <v>3</v>
      </c>
      <c r="B36" t="s">
        <v>142</v>
      </c>
      <c r="C36" t="s">
        <v>51</v>
      </c>
      <c r="D36" t="str">
        <f t="shared" si="7"/>
        <v>T&gt;C</v>
      </c>
      <c r="E36">
        <v>10</v>
      </c>
      <c r="F36" t="str">
        <f t="shared" si="1"/>
        <v>chr9:132900817_chr9:132900839-132900840:T&gt;C</v>
      </c>
      <c r="G36" t="s">
        <v>171</v>
      </c>
      <c r="H36" t="s">
        <v>220</v>
      </c>
      <c r="I36" t="s">
        <v>326</v>
      </c>
      <c r="J36" t="s">
        <v>327</v>
      </c>
      <c r="K36" t="str">
        <f t="shared" si="11"/>
        <v>TGGGGCCTGAAGACCTGACTTAGTGTGCTCCTAGCTGATTCCCTGTTTAATGACGTCTATGTGCTAGTTTTATGTCGTCGGATTTTTCACTTTGCTCATGTTTTTTGGTCAGCTCTCAAACAGTGAGTCGGTACGCTGCTGTGCTCCTTTTCCG</v>
      </c>
      <c r="L36" s="1" t="str">
        <f t="shared" si="3"/>
        <v>TCGGT</v>
      </c>
      <c r="M36" t="str">
        <f t="shared" si="12"/>
        <v>GCTGC</v>
      </c>
      <c r="N36" t="str">
        <f t="shared" si="4"/>
        <v>TCGGTACGCTGC</v>
      </c>
      <c r="O36" s="2">
        <f t="shared" si="5"/>
        <v>154</v>
      </c>
      <c r="P36" t="str">
        <f t="shared" si="10"/>
        <v>CTCTCAAACAGTGAGTCGGTACGCTGCTGTGCTCCTTTTCCG</v>
      </c>
    </row>
    <row r="37" spans="1:16" x14ac:dyDescent="0.25">
      <c r="A37" t="s">
        <v>3</v>
      </c>
      <c r="B37" t="s">
        <v>142</v>
      </c>
      <c r="C37" t="s">
        <v>52</v>
      </c>
      <c r="D37" t="str">
        <f t="shared" si="7"/>
        <v>A&gt;G</v>
      </c>
      <c r="E37">
        <v>10</v>
      </c>
      <c r="F37" t="str">
        <f t="shared" si="1"/>
        <v>chr9:132900817_chr9:132900851-132900852:A&gt;G</v>
      </c>
      <c r="G37" t="s">
        <v>175</v>
      </c>
      <c r="H37" t="s">
        <v>221</v>
      </c>
      <c r="I37" t="s">
        <v>326</v>
      </c>
      <c r="J37" t="s">
        <v>327</v>
      </c>
      <c r="K37" t="str">
        <f t="shared" si="11"/>
        <v>TGGGGCCTGAAGACCTGACTTAGTGTGCTCCTAGCTGATTCCCTGTTTAATGACGTCTATGTGCTAGTTTTATGTCGTCGGATTTTTCACTTTGCTCGTGTTTTTTGGTTAGCTCTCAAACAGTGAGTCGGTCGGCTGCTGTGCTCCTTTTCCG</v>
      </c>
      <c r="L37" s="1" t="str">
        <f t="shared" si="3"/>
        <v>TCGGT</v>
      </c>
      <c r="M37" t="str">
        <f t="shared" si="12"/>
        <v>GCTGC</v>
      </c>
      <c r="N37" t="str">
        <f t="shared" si="4"/>
        <v>TCGGTCGGCTGC</v>
      </c>
      <c r="O37" s="2">
        <f t="shared" si="5"/>
        <v>154</v>
      </c>
      <c r="P37" t="str">
        <f t="shared" si="10"/>
        <v>CTCTCAAACAGTGAGTCGGTCGGCTGCTGTGCTCCTTTTCCG</v>
      </c>
    </row>
    <row r="38" spans="1:16" x14ac:dyDescent="0.25">
      <c r="A38" t="s">
        <v>3</v>
      </c>
      <c r="B38" t="s">
        <v>142</v>
      </c>
      <c r="C38" t="s">
        <v>53</v>
      </c>
      <c r="D38" t="str">
        <f t="shared" si="7"/>
        <v>T&gt;C</v>
      </c>
      <c r="E38">
        <v>10</v>
      </c>
      <c r="F38" t="str">
        <f t="shared" si="1"/>
        <v>chr9:132900817_chr9:132900857-132900858:T&gt;C</v>
      </c>
      <c r="G38" t="s">
        <v>182</v>
      </c>
      <c r="H38" t="s">
        <v>222</v>
      </c>
      <c r="I38" t="s">
        <v>326</v>
      </c>
      <c r="J38" t="s">
        <v>327</v>
      </c>
      <c r="K38" t="str">
        <f t="shared" si="11"/>
        <v>TGGGGCCTGAAGACCTGACTTAGTGTGCTCCTAGCTGATTCCCTGTTTAATGACGTCTATGTGCTAGTTTTATGTCGTCGGATTTTTCACTCTGCTCATGTTTTTTGGTTAGCTCTCAAACAGTGAGTCGGTGTGCTGCTGTGCTCCTTTTCCG</v>
      </c>
      <c r="L38" s="1" t="str">
        <f t="shared" si="3"/>
        <v>TCGGT</v>
      </c>
      <c r="M38" t="str">
        <f t="shared" si="12"/>
        <v>GCTGC</v>
      </c>
      <c r="N38" t="str">
        <f t="shared" si="4"/>
        <v>TCGGTGTGCTGC</v>
      </c>
      <c r="O38" s="2">
        <f t="shared" si="5"/>
        <v>154</v>
      </c>
      <c r="P38" t="str">
        <f t="shared" si="10"/>
        <v>CTCTCAAACAGTGAGTCGGTGTGCTGCTGTGCTCCTTTTCCG</v>
      </c>
    </row>
    <row r="39" spans="1:16" x14ac:dyDescent="0.25">
      <c r="A39" t="s">
        <v>3</v>
      </c>
      <c r="B39" t="s">
        <v>142</v>
      </c>
      <c r="C39" t="s">
        <v>54</v>
      </c>
      <c r="D39" t="str">
        <f t="shared" si="7"/>
        <v>T&gt;C</v>
      </c>
      <c r="E39">
        <v>10</v>
      </c>
      <c r="F39" t="str">
        <f t="shared" si="1"/>
        <v>chr9:132900817_chr9:132900871-132900872:T&gt;C</v>
      </c>
      <c r="G39" t="s">
        <v>177</v>
      </c>
      <c r="H39" t="s">
        <v>223</v>
      </c>
      <c r="I39" t="s">
        <v>326</v>
      </c>
      <c r="J39" t="s">
        <v>327</v>
      </c>
      <c r="K39" t="str">
        <f t="shared" si="11"/>
        <v>TGGGGCCTGAAGACCTGACTTAGTGTGCTCCTAGCTGATTCCCTGTTTAATGACGTCTATGTGCTAGTTTTATGTCGCCGGATTTTTCACTTTGCTCATGTTTTTTGGTTAGCTCTCAAACAGTGAGTCGGTGAGCTGCTGTGCTCCTTTTCCG</v>
      </c>
      <c r="L39" s="1" t="str">
        <f t="shared" si="3"/>
        <v>TCGGT</v>
      </c>
      <c r="M39" t="str">
        <f t="shared" si="12"/>
        <v>GCTGC</v>
      </c>
      <c r="N39" t="str">
        <f t="shared" si="4"/>
        <v>TCGGTGAGCTGC</v>
      </c>
      <c r="O39" s="2">
        <f t="shared" si="5"/>
        <v>154</v>
      </c>
      <c r="P39" t="str">
        <f t="shared" si="10"/>
        <v>CTCTCAAACAGTGAGTCGGTGAGCTGCTGTGCTCCTTTTCCG</v>
      </c>
    </row>
    <row r="40" spans="1:16" x14ac:dyDescent="0.25">
      <c r="A40" t="s">
        <v>3</v>
      </c>
      <c r="B40" t="s">
        <v>142</v>
      </c>
      <c r="C40" t="s">
        <v>55</v>
      </c>
      <c r="D40" t="str">
        <f t="shared" si="7"/>
        <v>C&gt;T</v>
      </c>
      <c r="E40">
        <v>10</v>
      </c>
      <c r="F40" t="str">
        <f t="shared" si="1"/>
        <v>chr9:132900817_chr9:132900873-132900874:C&gt;T</v>
      </c>
      <c r="G40" t="s">
        <v>184</v>
      </c>
      <c r="H40" t="s">
        <v>224</v>
      </c>
      <c r="I40" t="s">
        <v>326</v>
      </c>
      <c r="J40" t="s">
        <v>327</v>
      </c>
      <c r="K40" t="str">
        <f t="shared" si="11"/>
        <v>TGGGGCCTGAAGACCTGACTTAGTGTGCTCCTAGCTGATTCCCTGTTTAATGACGTCTATGTGCTAGTTTTATGTTGTCGGATTTTTCACTTTGCTCATGTTTTTTGGTTAGCTCTCAAACAGTGAGTCGGTTCGCTGCTGTGCTCCTTTTCCG</v>
      </c>
      <c r="L40" s="1" t="str">
        <f t="shared" si="3"/>
        <v>TCGGT</v>
      </c>
      <c r="M40" t="str">
        <f t="shared" si="12"/>
        <v>GCTGC</v>
      </c>
      <c r="N40" t="str">
        <f t="shared" si="4"/>
        <v>TCGGTTCGCTGC</v>
      </c>
      <c r="O40" s="2">
        <f t="shared" si="5"/>
        <v>154</v>
      </c>
      <c r="P40" t="str">
        <f t="shared" si="10"/>
        <v>CTCTCAAACAGTGAGTCGGTTCGCTGCTGTGCTCCTTTTCCG</v>
      </c>
    </row>
    <row r="41" spans="1:16" x14ac:dyDescent="0.25">
      <c r="A41" t="s">
        <v>4</v>
      </c>
      <c r="D41" t="s">
        <v>167</v>
      </c>
      <c r="F41" t="str">
        <f t="shared" si="1"/>
        <v>chr9:132901679_</v>
      </c>
      <c r="G41" t="s">
        <v>174</v>
      </c>
      <c r="H41" t="s">
        <v>225</v>
      </c>
      <c r="I41" t="s">
        <v>326</v>
      </c>
      <c r="J41" t="s">
        <v>327</v>
      </c>
      <c r="K41" t="str">
        <f t="shared" si="11"/>
        <v>TGGGGCCTGAAGACCTGACTATTCCCAGTCCTCTGTGGGCTGGTGGCTAGGTAGGCCTGTGATCTGGCCTGTTGGTGTTCCTCAAACTTCATGTCCACGTCTCTTTGGGCAGACGAAGCTGGAGGACTGCAGCAGCTGCTGTGCTCCTTTTCCG</v>
      </c>
      <c r="L41" s="1" t="str">
        <f t="shared" si="3"/>
        <v>TGCAG</v>
      </c>
      <c r="M41" t="str">
        <f t="shared" si="12"/>
        <v>GCTGC</v>
      </c>
      <c r="N41" t="str">
        <f t="shared" si="4"/>
        <v>TGCAGCAGCTGC</v>
      </c>
      <c r="O41" s="2">
        <f t="shared" si="5"/>
        <v>154</v>
      </c>
      <c r="P41" t="str">
        <f t="shared" si="10"/>
        <v>ACGAAGCTGGAGGACTGCAGCAGCTGCTGTGCTCCTTTTCCG</v>
      </c>
    </row>
    <row r="42" spans="1:16" x14ac:dyDescent="0.25">
      <c r="A42" t="s">
        <v>4</v>
      </c>
      <c r="B42" t="s">
        <v>143</v>
      </c>
      <c r="C42" t="s">
        <v>56</v>
      </c>
      <c r="D42" t="str">
        <f t="shared" si="7"/>
        <v>G&gt;A</v>
      </c>
      <c r="E42">
        <v>7</v>
      </c>
      <c r="F42" t="str">
        <f t="shared" si="1"/>
        <v>chr9:132901679_chr9:132901699-132901700:G&gt;A</v>
      </c>
      <c r="G42" t="s">
        <v>173</v>
      </c>
      <c r="H42" t="s">
        <v>226</v>
      </c>
      <c r="I42" t="s">
        <v>326</v>
      </c>
      <c r="J42" t="s">
        <v>327</v>
      </c>
      <c r="K42" t="str">
        <f t="shared" si="11"/>
        <v>TGGGGCCTGAAGACCTGACTATTCCCAGTCCTCTGTGGGCTGGTGGCTAGGTAGGCCTGTGATCTGGCCTGTTGGTGTTCCTCAAACTTCATGTCCACGTCTCTTTGGGCAAACGAAGCTGGAGGACTGCAGATGCTGCTGTGCTCCTTTTCCG</v>
      </c>
      <c r="L42" s="1" t="str">
        <f t="shared" si="3"/>
        <v>TGCAG</v>
      </c>
      <c r="M42" t="str">
        <f t="shared" si="12"/>
        <v>GCTGC</v>
      </c>
      <c r="N42" t="str">
        <f t="shared" si="4"/>
        <v>TGCAGATGCTGC</v>
      </c>
      <c r="O42" s="2">
        <f t="shared" si="5"/>
        <v>154</v>
      </c>
      <c r="P42" t="str">
        <f t="shared" si="10"/>
        <v>ACGAAGCTGGAGGACTGCAGATGCTGCTGTGCTCCTTTTCCG</v>
      </c>
    </row>
    <row r="43" spans="1:16" x14ac:dyDescent="0.25">
      <c r="A43" t="s">
        <v>4</v>
      </c>
      <c r="B43" t="s">
        <v>143</v>
      </c>
      <c r="C43" t="s">
        <v>57</v>
      </c>
      <c r="D43" t="str">
        <f t="shared" si="7"/>
        <v>G&gt;A</v>
      </c>
      <c r="E43">
        <v>7</v>
      </c>
      <c r="F43" t="str">
        <f t="shared" si="1"/>
        <v>chr9:132901679_chr9:132901703-132901704:G&gt;A</v>
      </c>
      <c r="G43" t="s">
        <v>347</v>
      </c>
      <c r="H43" t="s">
        <v>227</v>
      </c>
      <c r="I43" t="s">
        <v>326</v>
      </c>
      <c r="J43" t="s">
        <v>327</v>
      </c>
      <c r="K43" t="str">
        <f t="shared" si="11"/>
        <v>TGGGGCCTGAAGACCTGACTATTCCCAGTCCTCTGTGGGCTGGTGGCTAGGTAGGCCTGTGATCTGGCCTGTTGGTGTTCCTCAAACTTCATGTCCACGTCTCTTTGAGCAGACGAAGCTGGAGGACTGCAGTGGCTGCTGTGCTCCTTTTCCG</v>
      </c>
      <c r="L43" s="1" t="str">
        <f t="shared" si="3"/>
        <v>TGCAG</v>
      </c>
      <c r="M43" t="str">
        <f t="shared" si="12"/>
        <v>GCTGC</v>
      </c>
      <c r="N43" t="str">
        <f t="shared" si="4"/>
        <v>TGCAGTGGCTGC</v>
      </c>
      <c r="O43" s="2">
        <f t="shared" si="5"/>
        <v>154</v>
      </c>
      <c r="P43" t="str">
        <f t="shared" si="10"/>
        <v>ACGAAGCTGGAGGACTGCAGTGGCTGCTGTGCTCCTTTTCCG</v>
      </c>
    </row>
    <row r="44" spans="1:16" x14ac:dyDescent="0.25">
      <c r="A44" t="s">
        <v>4</v>
      </c>
      <c r="B44" t="s">
        <v>143</v>
      </c>
      <c r="C44" t="s">
        <v>58</v>
      </c>
      <c r="D44" t="str">
        <f>RIGHT(C44,4)</f>
        <v>TT&gt;-</v>
      </c>
      <c r="E44">
        <v>7</v>
      </c>
      <c r="F44" t="str">
        <f t="shared" si="1"/>
        <v>chr9:132901679_chr9:132901705-132901707:TT&gt;-</v>
      </c>
      <c r="G44" t="s">
        <v>176</v>
      </c>
      <c r="H44" t="s">
        <v>228</v>
      </c>
      <c r="I44" t="s">
        <v>326</v>
      </c>
      <c r="J44" t="s">
        <v>327</v>
      </c>
      <c r="K44" t="str">
        <f t="shared" si="11"/>
        <v>TGGGGCCTGAAGACCTGACTATTCCCAGTCCTCTGTGGGCTGGTGGCTAGGTAGGCCTGTGATCTGGCCTGTTGGTGTTCCTCAAACTTCATGTCCACGTCTCTGGGCAGACGAAGCTGGAGGACTGCAGCTGCTGCTGTGCTCCTTTTCCG</v>
      </c>
      <c r="L44" s="1" t="str">
        <f t="shared" si="3"/>
        <v>TGCAG</v>
      </c>
      <c r="M44" t="str">
        <f t="shared" si="12"/>
        <v>GCTGC</v>
      </c>
      <c r="N44" t="str">
        <f t="shared" si="4"/>
        <v>TGCAGCTGCTGC</v>
      </c>
      <c r="O44" s="2">
        <f t="shared" si="5"/>
        <v>152</v>
      </c>
      <c r="P44" t="str">
        <f t="shared" si="10"/>
        <v>ACGAAGCTGGAGGACTGCAGCTGCTGCTGTGCTCCTTTTCCG</v>
      </c>
    </row>
    <row r="45" spans="1:16" x14ac:dyDescent="0.25">
      <c r="A45" t="s">
        <v>4</v>
      </c>
      <c r="B45" t="s">
        <v>143</v>
      </c>
      <c r="C45" t="s">
        <v>59</v>
      </c>
      <c r="D45" t="str">
        <f t="shared" si="7"/>
        <v>T&gt;C</v>
      </c>
      <c r="E45">
        <v>7</v>
      </c>
      <c r="F45" t="str">
        <f t="shared" si="1"/>
        <v>chr9:132901679_chr9:132901705-132901706:T&gt;C</v>
      </c>
      <c r="G45" t="s">
        <v>178</v>
      </c>
      <c r="H45" t="s">
        <v>229</v>
      </c>
      <c r="I45" t="s">
        <v>326</v>
      </c>
      <c r="J45" t="s">
        <v>327</v>
      </c>
      <c r="K45" t="str">
        <f t="shared" si="11"/>
        <v>TGGGGCCTGAAGACCTGACTATTCCCAGTCCTCTGTGGGCTGGTGGCTAGGTAGGCCTGTGATCTGGCCTGTTGGTGTTCCTCAAACTTCATGTCCACGTCTCTTCGGGCAGACGAAGCTGGAGGACTGCAGGCGCTGCTGTGCTCCTTTTCCG</v>
      </c>
      <c r="L45" s="1" t="str">
        <f t="shared" si="3"/>
        <v>TGCAG</v>
      </c>
      <c r="M45" t="str">
        <f t="shared" si="12"/>
        <v>GCTGC</v>
      </c>
      <c r="N45" t="str">
        <f t="shared" si="4"/>
        <v>TGCAGGCGCTGC</v>
      </c>
      <c r="O45" s="2">
        <f t="shared" si="5"/>
        <v>154</v>
      </c>
      <c r="P45" t="str">
        <f t="shared" si="10"/>
        <v>ACGAAGCTGGAGGACTGCAGGCGCTGCTGTGCTCCTTTTCCG</v>
      </c>
    </row>
    <row r="46" spans="1:16" x14ac:dyDescent="0.25">
      <c r="A46" t="s">
        <v>4</v>
      </c>
      <c r="B46" t="s">
        <v>143</v>
      </c>
      <c r="C46" t="s">
        <v>60</v>
      </c>
      <c r="D46" t="str">
        <f t="shared" si="7"/>
        <v>G&gt;A</v>
      </c>
      <c r="E46">
        <v>7</v>
      </c>
      <c r="F46" t="str">
        <f t="shared" si="1"/>
        <v>chr9:132901679_chr9:132901712-132901713:G&gt;A</v>
      </c>
      <c r="G46" t="s">
        <v>171</v>
      </c>
      <c r="H46" t="s">
        <v>230</v>
      </c>
      <c r="I46" t="s">
        <v>326</v>
      </c>
      <c r="J46" t="s">
        <v>327</v>
      </c>
      <c r="K46" t="str">
        <f t="shared" si="11"/>
        <v>TGGGGCCTGAAGACCTGACTATTCCCAGTCCTCTGTGGGCTGGTGGCTAGGTAGGCCTGTGATCTGGCCTGTTGGTGTTCCTCAAACTTCATGTCCACATCTCTTTGGGCAGACGAAGCTGGAGGACTGCAGACGCTGCTGTGCTCCTTTTCCG</v>
      </c>
      <c r="L46" s="1" t="str">
        <f t="shared" si="3"/>
        <v>TGCAG</v>
      </c>
      <c r="M46" t="str">
        <f t="shared" si="12"/>
        <v>GCTGC</v>
      </c>
      <c r="N46" t="str">
        <f t="shared" si="4"/>
        <v>TGCAGACGCTGC</v>
      </c>
      <c r="O46" s="2">
        <f t="shared" si="5"/>
        <v>154</v>
      </c>
      <c r="P46" t="str">
        <f t="shared" si="10"/>
        <v>ACGAAGCTGGAGGACTGCAGACGCTGCTGTGCTCCTTTTCCG</v>
      </c>
    </row>
    <row r="47" spans="1:16" x14ac:dyDescent="0.25">
      <c r="A47" t="s">
        <v>4</v>
      </c>
      <c r="B47" t="s">
        <v>143</v>
      </c>
      <c r="C47" t="s">
        <v>61</v>
      </c>
      <c r="D47" t="str">
        <f t="shared" si="7"/>
        <v>A&gt;G</v>
      </c>
      <c r="E47">
        <v>7</v>
      </c>
      <c r="F47" t="str">
        <f t="shared" si="1"/>
        <v>chr9:132901679_chr9:132901714-132901715:A&gt;G</v>
      </c>
      <c r="G47" t="s">
        <v>175</v>
      </c>
      <c r="H47" t="s">
        <v>231</v>
      </c>
      <c r="I47" t="s">
        <v>326</v>
      </c>
      <c r="J47" t="s">
        <v>327</v>
      </c>
      <c r="K47" t="str">
        <f t="shared" si="11"/>
        <v>TGGGGCCTGAAGACCTGACTATTCCCAGTCCTCTGTGGGCTGGTGGCTAGGTAGGCCTGTGATCTGGCCTGTTGGTGTTCCTCAAACTTCATGTCCGCGTCTCTTTGGGCAGACGAAGCTGGAGGACTGCAGCGGCTGCTGTGCTCCTTTTCCG</v>
      </c>
      <c r="L47" s="1" t="str">
        <f t="shared" si="3"/>
        <v>TGCAG</v>
      </c>
      <c r="M47" t="str">
        <f t="shared" si="12"/>
        <v>GCTGC</v>
      </c>
      <c r="N47" t="str">
        <f t="shared" si="4"/>
        <v>TGCAGCGGCTGC</v>
      </c>
      <c r="O47" s="2">
        <f t="shared" si="5"/>
        <v>154</v>
      </c>
      <c r="P47" t="str">
        <f t="shared" si="10"/>
        <v>ACGAAGCTGGAGGACTGCAGCGGCTGCTGTGCTCCTTTTCCG</v>
      </c>
    </row>
    <row r="48" spans="1:16" x14ac:dyDescent="0.25">
      <c r="A48" t="s">
        <v>4</v>
      </c>
      <c r="B48" t="s">
        <v>143</v>
      </c>
      <c r="C48" t="s">
        <v>62</v>
      </c>
      <c r="D48" t="str">
        <f t="shared" si="7"/>
        <v>T&gt;C</v>
      </c>
      <c r="E48">
        <v>7</v>
      </c>
      <c r="F48" t="str">
        <f t="shared" si="1"/>
        <v>chr9:132901679_chr9:132901733-132901734:T&gt;C</v>
      </c>
      <c r="G48" t="s">
        <v>182</v>
      </c>
      <c r="H48" t="s">
        <v>232</v>
      </c>
      <c r="I48" t="s">
        <v>326</v>
      </c>
      <c r="J48" t="s">
        <v>327</v>
      </c>
      <c r="K48" t="str">
        <f t="shared" si="11"/>
        <v>TGGGGCCTGAAGACCTGACTATTCCCAGTCCTCTGTGGGCTGGTGGCTAGGTAGGCCTGTGATCTGGCCTGTTGGTGCTCCTCAAACTTCATGTCCACGTCTCTTTGGGCAGACGAAGCTGGAGGACTGCAGGTGCTGCTGTGCTCCTTTTCCG</v>
      </c>
      <c r="L48" s="1" t="str">
        <f t="shared" si="3"/>
        <v>TGCAG</v>
      </c>
      <c r="M48" t="str">
        <f t="shared" si="12"/>
        <v>GCTGC</v>
      </c>
      <c r="N48" t="str">
        <f t="shared" si="4"/>
        <v>TGCAGGTGCTGC</v>
      </c>
      <c r="O48" s="2">
        <f t="shared" si="5"/>
        <v>154</v>
      </c>
      <c r="P48" t="str">
        <f t="shared" si="10"/>
        <v>ACGAAGCTGGAGGACTGCAGGTGCTGCTGTGCTCCTTTTCCG</v>
      </c>
    </row>
    <row r="49" spans="1:16" x14ac:dyDescent="0.25">
      <c r="A49" t="s">
        <v>159</v>
      </c>
      <c r="D49" t="s">
        <v>167</v>
      </c>
      <c r="F49" t="str">
        <f t="shared" si="1"/>
        <v>chr9:132902767_</v>
      </c>
      <c r="G49" t="s">
        <v>176</v>
      </c>
      <c r="H49" t="s">
        <v>233</v>
      </c>
      <c r="I49" t="s">
        <v>326</v>
      </c>
      <c r="J49" t="s">
        <v>327</v>
      </c>
      <c r="K49" t="str">
        <f t="shared" si="11"/>
        <v>TGGGGCCTGAAGACCTGACTCTTATGACTATTCAGATGAAATGTTCGCAGTGTGTGTTAAATTGCCTGTGTTGGAAGACAGCTAAAATGATGACATTTCTGGTCTCTGCTAGAAAGATCAGTTGAAGTTACACTGCTGCTGTGCTCCTTTTCCG</v>
      </c>
      <c r="L49" s="1" t="str">
        <f t="shared" si="3"/>
        <v>TTACA</v>
      </c>
      <c r="M49" t="str">
        <f t="shared" si="12"/>
        <v>GCTGC</v>
      </c>
      <c r="N49" t="str">
        <f t="shared" si="4"/>
        <v>TTACACTGCTGC</v>
      </c>
      <c r="O49" s="2">
        <f t="shared" si="5"/>
        <v>154</v>
      </c>
      <c r="P49" t="str">
        <f t="shared" si="10"/>
        <v>AAAGATCAGTTGAAGTTACACTGCTGCTGTGCTCCTTTTCCG</v>
      </c>
    </row>
    <row r="50" spans="1:16" x14ac:dyDescent="0.25">
      <c r="A50" t="s">
        <v>159</v>
      </c>
      <c r="B50" t="s">
        <v>144</v>
      </c>
      <c r="C50" t="s">
        <v>63</v>
      </c>
      <c r="D50" t="str">
        <f t="shared" si="7"/>
        <v>T&gt;C</v>
      </c>
      <c r="E50">
        <v>6</v>
      </c>
      <c r="F50" t="str">
        <f t="shared" si="1"/>
        <v>chr9:132902767_chr9:132902789-132902790:T&gt;C</v>
      </c>
      <c r="G50" t="s">
        <v>178</v>
      </c>
      <c r="H50" t="s">
        <v>234</v>
      </c>
      <c r="I50" t="s">
        <v>326</v>
      </c>
      <c r="J50" t="s">
        <v>327</v>
      </c>
      <c r="K50" t="str">
        <f t="shared" si="11"/>
        <v>TGGGGCCTGAAGACCTGACTCTTATGACTATTCAGATGAAATGTTCGCAGTGTGTGTTAAATTGCCTGTGTTGGAAGACAGCTAAAATGATGACATTTCTGGTCTCTGCCAGAAAGATCAGTTGAAGTTACAGCGCTGCTGTGCTCCTTTTCCG</v>
      </c>
      <c r="L50" s="1" t="str">
        <f t="shared" si="3"/>
        <v>TTACA</v>
      </c>
      <c r="M50" t="str">
        <f t="shared" si="12"/>
        <v>GCTGC</v>
      </c>
      <c r="N50" t="str">
        <f t="shared" si="4"/>
        <v>TTACAGCGCTGC</v>
      </c>
      <c r="O50" s="2">
        <f t="shared" si="5"/>
        <v>154</v>
      </c>
      <c r="P50" t="str">
        <f t="shared" si="10"/>
        <v>AAAGATCAGTTGAAGTTACAGCGCTGCTGTGCTCCTTTTCCG</v>
      </c>
    </row>
    <row r="51" spans="1:16" x14ac:dyDescent="0.25">
      <c r="A51" t="s">
        <v>5</v>
      </c>
      <c r="B51" t="s">
        <v>144</v>
      </c>
      <c r="C51" t="s">
        <v>64</v>
      </c>
      <c r="D51" t="str">
        <f t="shared" si="7"/>
        <v>C&gt;T</v>
      </c>
      <c r="E51">
        <v>6</v>
      </c>
      <c r="F51" t="str">
        <f t="shared" si="1"/>
        <v>chr9:132902767_chr9:132902795-132902796:C&gt;T</v>
      </c>
      <c r="G51" t="s">
        <v>171</v>
      </c>
      <c r="H51" t="s">
        <v>235</v>
      </c>
      <c r="I51" t="s">
        <v>326</v>
      </c>
      <c r="J51" t="s">
        <v>327</v>
      </c>
      <c r="K51" t="str">
        <f t="shared" si="11"/>
        <v>TGGGGCCTGAAGACCTGACTCTTATGACTATTCAGATGAAATGTTCGCAGTGTGTGTTAAATTGCCTGTGTTGGAAGACAGCTAAAATGATGACATTTCTGGTTTCTGCTAGAAAGATCAGTTGAAGTTACAACGCTGCTGTGCTCCTTTTCCG</v>
      </c>
      <c r="L51" s="1" t="str">
        <f t="shared" si="3"/>
        <v>TTACA</v>
      </c>
      <c r="M51" t="str">
        <f t="shared" si="12"/>
        <v>GCTGC</v>
      </c>
      <c r="N51" t="str">
        <f t="shared" si="4"/>
        <v>TTACAACGCTGC</v>
      </c>
      <c r="O51" s="2">
        <f t="shared" si="5"/>
        <v>154</v>
      </c>
      <c r="P51" t="str">
        <f t="shared" si="10"/>
        <v>AAAGATCAGTTGAAGTTACAACGCTGCTGTGCTCCTTTTCCG</v>
      </c>
    </row>
    <row r="52" spans="1:16" x14ac:dyDescent="0.25">
      <c r="A52" t="s">
        <v>5</v>
      </c>
      <c r="B52" t="s">
        <v>144</v>
      </c>
      <c r="C52" t="s">
        <v>65</v>
      </c>
      <c r="D52" t="str">
        <f t="shared" si="7"/>
        <v>C&gt;G</v>
      </c>
      <c r="E52">
        <v>6</v>
      </c>
      <c r="F52" t="str">
        <f t="shared" si="1"/>
        <v>chr9:132902767_chr9:132902795-132902796:C&gt;G</v>
      </c>
      <c r="G52" t="s">
        <v>175</v>
      </c>
      <c r="H52" t="s">
        <v>236</v>
      </c>
      <c r="I52" t="s">
        <v>326</v>
      </c>
      <c r="J52" t="s">
        <v>327</v>
      </c>
      <c r="K52" t="str">
        <f t="shared" si="11"/>
        <v>TGGGGCCTGAAGACCTGACTCTTATGACTATTCAGATGAAATGTTCGCAGTGTGTGTTAAATTGCCTGTGTTGGAAGACAGCTAAAATGATGACATTTCTGGTGTCTGCTAGAAAGATCAGTTGAAGTTACACGGCTGCTGTGCTCCTTTTCCG</v>
      </c>
      <c r="L52" s="1" t="str">
        <f t="shared" si="3"/>
        <v>TTACA</v>
      </c>
      <c r="M52" t="str">
        <f t="shared" si="12"/>
        <v>GCTGC</v>
      </c>
      <c r="N52" t="str">
        <f t="shared" si="4"/>
        <v>TTACACGGCTGC</v>
      </c>
      <c r="O52" s="2">
        <f t="shared" si="5"/>
        <v>154</v>
      </c>
      <c r="P52" t="str">
        <f t="shared" si="10"/>
        <v>AAAGATCAGTTGAAGTTACACGGCTGCTGTGCTCCTTTTCCG</v>
      </c>
    </row>
    <row r="53" spans="1:16" x14ac:dyDescent="0.25">
      <c r="A53" t="s">
        <v>5</v>
      </c>
      <c r="B53" t="s">
        <v>144</v>
      </c>
      <c r="C53" t="s">
        <v>66</v>
      </c>
      <c r="D53" t="str">
        <f t="shared" si="7"/>
        <v>G&gt;T</v>
      </c>
      <c r="E53">
        <v>6</v>
      </c>
      <c r="F53" t="str">
        <f t="shared" si="1"/>
        <v>chr9:132902767_chr9:132902797-132902798:G&gt;T</v>
      </c>
      <c r="G53" t="s">
        <v>182</v>
      </c>
      <c r="H53" t="s">
        <v>237</v>
      </c>
      <c r="I53" t="s">
        <v>326</v>
      </c>
      <c r="J53" t="s">
        <v>327</v>
      </c>
      <c r="K53" t="str">
        <f t="shared" si="11"/>
        <v>TGGGGCCTGAAGACCTGACTCTTATGACTATTCAGATGAAATGTTCGCAGTGTGTGTTAAATTGCCTGTGTTGGAAGACAGCTAAAATGATGACATTTCTGTTCTCTGCTAGAAAGATCAGTTGAAGTTACAGTGCTGCTGTGCTCCTTTTCCG</v>
      </c>
      <c r="L53" s="1" t="str">
        <f t="shared" si="3"/>
        <v>TTACA</v>
      </c>
      <c r="M53" t="str">
        <f t="shared" si="12"/>
        <v>GCTGC</v>
      </c>
      <c r="N53" t="str">
        <f t="shared" si="4"/>
        <v>TTACAGTGCTGC</v>
      </c>
      <c r="O53" s="2">
        <f t="shared" si="5"/>
        <v>154</v>
      </c>
      <c r="P53" t="str">
        <f t="shared" si="10"/>
        <v>AAAGATCAGTTGAAGTTACAGTGCTGCTGTGCTCCTTTTCCG</v>
      </c>
    </row>
    <row r="54" spans="1:16" x14ac:dyDescent="0.25">
      <c r="A54" t="s">
        <v>5</v>
      </c>
      <c r="B54" t="s">
        <v>144</v>
      </c>
      <c r="C54" t="s">
        <v>67</v>
      </c>
      <c r="D54" t="str">
        <f t="shared" si="7"/>
        <v>C&gt;T</v>
      </c>
      <c r="E54">
        <v>6</v>
      </c>
      <c r="F54" t="str">
        <f t="shared" si="1"/>
        <v>chr9:132902767_chr9:132902800-132902801:C&gt;T</v>
      </c>
      <c r="G54" t="s">
        <v>177</v>
      </c>
      <c r="H54" t="s">
        <v>238</v>
      </c>
      <c r="I54" t="s">
        <v>326</v>
      </c>
      <c r="J54" t="s">
        <v>327</v>
      </c>
      <c r="K54" t="str">
        <f t="shared" si="11"/>
        <v>TGGGGCCTGAAGACCTGACTCTTATGACTATTCAGATGAAATGTTCGCAGTGTGTGTTAAATTGCCTGTGTTGGAAGACAGCTAAAATGATGACATTTTTGGTCTCTGCTAGAAAGATCAGTTGAAGTTACAGAGCTGCTGTGCTCCTTTTCCG</v>
      </c>
      <c r="L54" s="1" t="str">
        <f t="shared" si="3"/>
        <v>TTACA</v>
      </c>
      <c r="M54" t="str">
        <f t="shared" si="12"/>
        <v>GCTGC</v>
      </c>
      <c r="N54" t="str">
        <f t="shared" si="4"/>
        <v>TTACAGAGCTGC</v>
      </c>
      <c r="O54" s="2">
        <f t="shared" si="5"/>
        <v>154</v>
      </c>
      <c r="P54" t="str">
        <f t="shared" si="10"/>
        <v>AAAGATCAGTTGAAGTTACAGAGCTGCTGTGCTCCTTTTCCG</v>
      </c>
    </row>
    <row r="55" spans="1:16" x14ac:dyDescent="0.25">
      <c r="A55" t="s">
        <v>5</v>
      </c>
      <c r="B55" t="s">
        <v>144</v>
      </c>
      <c r="C55" t="s">
        <v>68</v>
      </c>
      <c r="D55" t="str">
        <f t="shared" si="7"/>
        <v>A&gt;G</v>
      </c>
      <c r="E55">
        <v>6</v>
      </c>
      <c r="F55" t="str">
        <f t="shared" si="1"/>
        <v>chr9:132902767_chr9:132902821-132902822:A&gt;G</v>
      </c>
      <c r="G55" t="s">
        <v>184</v>
      </c>
      <c r="H55" t="s">
        <v>239</v>
      </c>
      <c r="I55" t="s">
        <v>326</v>
      </c>
      <c r="J55" t="s">
        <v>327</v>
      </c>
      <c r="K55" t="str">
        <f t="shared" si="11"/>
        <v>TGGGGCCTGAAGACCTGACTCTTATGACTATTCAGATGAAATGTTCGCAGTGTGTGTTAAATTGCCTGTGTTGGAAGGCAGCTAAAATGATGACATTTCTGGTCTCTGCTAGAAAGATCAGTTGAAGTTACATCGCTGCTGTGCTCCTTTTCCG</v>
      </c>
      <c r="L55" s="1" t="str">
        <f t="shared" si="3"/>
        <v>TTACA</v>
      </c>
      <c r="M55" t="str">
        <f t="shared" si="12"/>
        <v>GCTGC</v>
      </c>
      <c r="N55" t="str">
        <f t="shared" si="4"/>
        <v>TTACATCGCTGC</v>
      </c>
      <c r="O55" s="2">
        <f t="shared" si="5"/>
        <v>154</v>
      </c>
      <c r="P55" t="str">
        <f t="shared" si="10"/>
        <v>AAAGATCAGTTGAAGTTACATCGCTGCTGTGCTCCTTTTCCG</v>
      </c>
    </row>
    <row r="56" spans="1:16" x14ac:dyDescent="0.25">
      <c r="A56" t="s">
        <v>6</v>
      </c>
      <c r="D56" t="s">
        <v>167</v>
      </c>
      <c r="F56" t="str">
        <f t="shared" si="1"/>
        <v>chr9:132903797_</v>
      </c>
      <c r="G56" t="s">
        <v>178</v>
      </c>
      <c r="H56" t="s">
        <v>240</v>
      </c>
      <c r="I56" t="s">
        <v>326</v>
      </c>
      <c r="J56" t="s">
        <v>327</v>
      </c>
      <c r="K56" t="str">
        <f t="shared" si="11"/>
        <v>TGGGGCCTGAAGACCTGACTGTGTTTGTTAAGCTAACAACACATGGGAAGGGGGCTTGATTGAACCATCTGTAAAAGGCATTTCTGCCACCCTCCCTCTGCTTTACAATCAGGCTCTCCTCCTTCAGATGAGGCGCTGCTGTGCTCCTTTTCCG</v>
      </c>
      <c r="L56" s="1" t="str">
        <f t="shared" si="3"/>
        <v>ATGAG</v>
      </c>
      <c r="M56" t="str">
        <f t="shared" si="12"/>
        <v>GCTGC</v>
      </c>
      <c r="N56" t="str">
        <f t="shared" si="4"/>
        <v>ATGAGGCGCTGC</v>
      </c>
      <c r="O56" s="2">
        <f t="shared" si="5"/>
        <v>154</v>
      </c>
      <c r="P56" t="str">
        <f t="shared" si="10"/>
        <v>GCTCTCCTCCTTCAGATGAGGCGCTGCTGTGCTCCTTTTCCG</v>
      </c>
    </row>
    <row r="57" spans="1:16" x14ac:dyDescent="0.25">
      <c r="A57" t="s">
        <v>6</v>
      </c>
      <c r="B57" t="s">
        <v>145</v>
      </c>
      <c r="C57" t="s">
        <v>69</v>
      </c>
      <c r="D57" t="str">
        <f t="shared" si="7"/>
        <v>A&gt;G</v>
      </c>
      <c r="E57">
        <v>2</v>
      </c>
      <c r="F57" t="str">
        <f t="shared" si="1"/>
        <v>chr9:132903797_chr9:132903818-132903819:A&gt;G</v>
      </c>
      <c r="G57" t="s">
        <v>171</v>
      </c>
      <c r="H57" t="s">
        <v>241</v>
      </c>
      <c r="I57" t="s">
        <v>326</v>
      </c>
      <c r="J57" t="s">
        <v>327</v>
      </c>
      <c r="K57" t="str">
        <f t="shared" si="11"/>
        <v>TGGGGCCTGAAGACCTGACTGTGTTTGTTAAGCTAACAACACATGGGAAGGGGGCTTGATTGAACCATCTGTAAAAGGCATTTCTGCCACCCTCCCTCTGCTTTACAATCGGGCTCTCCTCCTTCAGATGAGACGCTGCTGTGCTCCTTTTCCG</v>
      </c>
      <c r="L57" s="1" t="str">
        <f t="shared" si="3"/>
        <v>ATGAG</v>
      </c>
      <c r="M57" t="str">
        <f t="shared" si="12"/>
        <v>GCTGC</v>
      </c>
      <c r="N57" t="str">
        <f t="shared" si="4"/>
        <v>ATGAGACGCTGC</v>
      </c>
      <c r="O57" s="2">
        <f t="shared" si="5"/>
        <v>154</v>
      </c>
      <c r="P57" t="str">
        <f t="shared" si="10"/>
        <v>GCTCTCCTCCTTCAGATGAGACGCTGCTGTGCTCCTTTTCCG</v>
      </c>
    </row>
    <row r="58" spans="1:16" x14ac:dyDescent="0.25">
      <c r="A58" t="s">
        <v>6</v>
      </c>
      <c r="B58" t="s">
        <v>145</v>
      </c>
      <c r="C58" t="s">
        <v>70</v>
      </c>
      <c r="D58" t="str">
        <f t="shared" si="7"/>
        <v>A&gt;G</v>
      </c>
      <c r="E58">
        <v>2</v>
      </c>
      <c r="F58" t="str">
        <f t="shared" si="1"/>
        <v>chr9:132903797_chr9:132903821-132903822:A&gt;G</v>
      </c>
      <c r="G58" t="s">
        <v>175</v>
      </c>
      <c r="H58" t="s">
        <v>242</v>
      </c>
      <c r="I58" t="s">
        <v>326</v>
      </c>
      <c r="J58" t="s">
        <v>327</v>
      </c>
      <c r="K58" t="str">
        <f t="shared" si="11"/>
        <v>TGGGGCCTGAAGACCTGACTGTGTTTGTTAAGCTAACAACACATGGGAAGGGGGCTTGATTGAACCATCTGTAAAAGGCATTTCTGCCACCCTCCCTCTGCTTTACAGTCAGGCTCTCCTCCTTCAGATGAGCGGCTGCTGTGCTCCTTTTCCG</v>
      </c>
      <c r="L58" s="1" t="str">
        <f t="shared" si="3"/>
        <v>ATGAG</v>
      </c>
      <c r="M58" t="str">
        <f t="shared" si="12"/>
        <v>GCTGC</v>
      </c>
      <c r="N58" t="str">
        <f t="shared" si="4"/>
        <v>ATGAGCGGCTGC</v>
      </c>
      <c r="O58" s="2">
        <f t="shared" si="5"/>
        <v>154</v>
      </c>
      <c r="P58" t="str">
        <f t="shared" si="10"/>
        <v>GCTCTCCTCCTTCAGATGAGCGGCTGCTGTGCTCCTTTTCCG</v>
      </c>
    </row>
    <row r="59" spans="1:16" x14ac:dyDescent="0.25">
      <c r="A59" t="s">
        <v>7</v>
      </c>
      <c r="D59" t="s">
        <v>167</v>
      </c>
      <c r="F59" t="str">
        <f t="shared" si="1"/>
        <v>chr9:132904434_</v>
      </c>
      <c r="G59" t="s">
        <v>183</v>
      </c>
      <c r="H59" t="s">
        <v>243</v>
      </c>
      <c r="I59" t="s">
        <v>326</v>
      </c>
      <c r="J59" t="s">
        <v>327</v>
      </c>
      <c r="K59" t="str">
        <f t="shared" si="11"/>
        <v>TGGGGCCTGAAGACCTGACTGAAGTGATCTAACTTTGCTGCAAATAAAAGTCCAGATACGTTTTTTTCTTGGTAAGATCGGTAACTTTGTTACTCAAAAACTTTCTTCCTAGGTTGCCTTTACCCAGCAAGTTAGCTGCTGTGCTCCTTTTCCG</v>
      </c>
      <c r="L59" s="1" t="str">
        <f t="shared" si="3"/>
        <v>CAAGT</v>
      </c>
      <c r="M59" t="str">
        <f t="shared" si="12"/>
        <v>GCTGC</v>
      </c>
      <c r="N59" t="str">
        <f t="shared" si="4"/>
        <v>CAAGTTAGCTGC</v>
      </c>
      <c r="O59" s="2">
        <f t="shared" si="5"/>
        <v>154</v>
      </c>
      <c r="P59" t="str">
        <f t="shared" si="10"/>
        <v>GTTGCCTTTACCCAGCAAGTTAGCTGCTGTGCTCCTTTTCCG</v>
      </c>
    </row>
    <row r="60" spans="1:16" x14ac:dyDescent="0.25">
      <c r="A60" t="s">
        <v>7</v>
      </c>
      <c r="B60" t="s">
        <v>146</v>
      </c>
      <c r="C60" t="s">
        <v>71</v>
      </c>
      <c r="D60" t="str">
        <f t="shared" si="7"/>
        <v>G&gt;T</v>
      </c>
      <c r="E60">
        <v>9</v>
      </c>
      <c r="F60" t="str">
        <f t="shared" si="1"/>
        <v>chr9:132904434_chr9:132904454-132904455:G&gt;T</v>
      </c>
      <c r="G60" t="s">
        <v>172</v>
      </c>
      <c r="H60" t="s">
        <v>244</v>
      </c>
      <c r="I60" t="s">
        <v>326</v>
      </c>
      <c r="J60" t="s">
        <v>327</v>
      </c>
      <c r="K60" t="str">
        <f t="shared" si="11"/>
        <v>TGGGGCCTGAAGACCTGACTGAAGTGATCTAACTTTGCTGCAAATAAAAGTCCAGATACGTTTTTTTCTTGGTAAGATCGGTAACTTTGTTACTCAAAAACTTTCTTCCTATGTTGCCTTTACCCAGCAAGTAGGCTGCTGTGCTCCTTTTCCG</v>
      </c>
      <c r="L60" s="1" t="str">
        <f t="shared" si="3"/>
        <v>CAAGT</v>
      </c>
      <c r="M60" t="str">
        <f t="shared" si="12"/>
        <v>GCTGC</v>
      </c>
      <c r="N60" t="str">
        <f t="shared" si="4"/>
        <v>CAAGTAGGCTGC</v>
      </c>
      <c r="O60" s="2">
        <f t="shared" si="5"/>
        <v>154</v>
      </c>
      <c r="P60" t="str">
        <f t="shared" si="10"/>
        <v>GTTGCCTTTACCCAGCAAGTAGGCTGCTGTGCTCCTTTTCCG</v>
      </c>
    </row>
    <row r="61" spans="1:16" x14ac:dyDescent="0.25">
      <c r="A61" t="s">
        <v>7</v>
      </c>
      <c r="B61" t="s">
        <v>146</v>
      </c>
      <c r="C61" t="s">
        <v>72</v>
      </c>
      <c r="D61" t="str">
        <f t="shared" si="7"/>
        <v>G&gt;C</v>
      </c>
      <c r="E61">
        <v>9</v>
      </c>
      <c r="F61" t="str">
        <f t="shared" si="1"/>
        <v>chr9:132904434_chr9:132904454-132904455:G&gt;C</v>
      </c>
      <c r="G61" t="s">
        <v>174</v>
      </c>
      <c r="H61" t="s">
        <v>245</v>
      </c>
      <c r="I61" t="s">
        <v>326</v>
      </c>
      <c r="J61" t="s">
        <v>327</v>
      </c>
      <c r="K61" t="str">
        <f t="shared" si="11"/>
        <v>TGGGGCCTGAAGACCTGACTGAAGTGATCTAACTTTGCTGCAAATAAAAGTCCAGATACGTTTTTTTCTTGGTAAGATCGGTAACTTTGTTACTCAAAAACTTTCTTCCTACGTTGCCTTTACCCAGCAAGTCAGCTGCTGTGCTCCTTTTCCG</v>
      </c>
      <c r="L61" s="1" t="str">
        <f t="shared" si="3"/>
        <v>CAAGT</v>
      </c>
      <c r="M61" t="str">
        <f t="shared" si="12"/>
        <v>GCTGC</v>
      </c>
      <c r="N61" t="str">
        <f t="shared" si="4"/>
        <v>CAAGTCAGCTGC</v>
      </c>
      <c r="O61" s="2">
        <f t="shared" si="5"/>
        <v>154</v>
      </c>
      <c r="P61" t="str">
        <f t="shared" si="10"/>
        <v>GTTGCCTTTACCCAGCAAGTCAGCTGCTGTGCTCCTTTTCCG</v>
      </c>
    </row>
    <row r="62" spans="1:16" x14ac:dyDescent="0.25">
      <c r="A62" t="s">
        <v>7</v>
      </c>
      <c r="B62" t="s">
        <v>146</v>
      </c>
      <c r="C62" t="s">
        <v>73</v>
      </c>
      <c r="D62" t="str">
        <f t="shared" si="7"/>
        <v>G&gt;A</v>
      </c>
      <c r="E62">
        <v>9</v>
      </c>
      <c r="F62" t="str">
        <f t="shared" si="1"/>
        <v>chr9:132904434_chr9:132904454-132904455:G&gt;A</v>
      </c>
      <c r="G62" t="s">
        <v>173</v>
      </c>
      <c r="H62" t="s">
        <v>246</v>
      </c>
      <c r="I62" t="s">
        <v>326</v>
      </c>
      <c r="J62" t="s">
        <v>327</v>
      </c>
      <c r="K62" t="str">
        <f t="shared" si="11"/>
        <v>TGGGGCCTGAAGACCTGACTGAAGTGATCTAACTTTGCTGCAAATAAAAGTCCAGATACGTTTTTTTCTTGGTAAGATCGGTAACTTTGTTACTCAAAAACTTTCTTCCTAAGTTGCCTTTACCCAGCAAGTATGCTGCTGTGCTCCTTTTCCG</v>
      </c>
      <c r="L62" s="1" t="str">
        <f t="shared" si="3"/>
        <v>CAAGT</v>
      </c>
      <c r="M62" t="str">
        <f t="shared" si="12"/>
        <v>GCTGC</v>
      </c>
      <c r="N62" t="str">
        <f t="shared" si="4"/>
        <v>CAAGTATGCTGC</v>
      </c>
      <c r="O62" s="2">
        <f t="shared" si="5"/>
        <v>154</v>
      </c>
      <c r="P62" t="str">
        <f t="shared" si="10"/>
        <v>GTTGCCTTTACCCAGCAAGTATGCTGCTGTGCTCCTTTTCCG</v>
      </c>
    </row>
    <row r="63" spans="1:16" x14ac:dyDescent="0.25">
      <c r="A63" t="s">
        <v>7</v>
      </c>
      <c r="B63" t="s">
        <v>146</v>
      </c>
      <c r="C63" t="s">
        <v>74</v>
      </c>
      <c r="D63" t="str">
        <f t="shared" si="7"/>
        <v>A&gt;G</v>
      </c>
      <c r="E63">
        <v>9</v>
      </c>
      <c r="F63" t="str">
        <f t="shared" si="1"/>
        <v>chr9:132904434_chr9:132904455-132904456:A&gt;G</v>
      </c>
      <c r="G63" t="s">
        <v>348</v>
      </c>
      <c r="H63" t="s">
        <v>247</v>
      </c>
      <c r="I63" t="s">
        <v>326</v>
      </c>
      <c r="J63" t="s">
        <v>327</v>
      </c>
      <c r="K63" t="str">
        <f t="shared" si="11"/>
        <v>TGGGGCCTGAAGACCTGACTGAAGTGATCTAACTTTGCTGCAAATAAAAGTCCAGATACGTTTTTTTCTTGGTAAGATCGGTAACTTTGTTACTCAAAAACTTTCTTCCTGGGTTGCCTTTACCCAGCAAGTTGGCTGCTGTGCTCCTTTTCCG</v>
      </c>
      <c r="L63" s="1" t="str">
        <f t="shared" si="3"/>
        <v>CAAGT</v>
      </c>
      <c r="M63" t="str">
        <f t="shared" si="12"/>
        <v>GCTGC</v>
      </c>
      <c r="N63" t="str">
        <f t="shared" si="4"/>
        <v>CAAGTTGGCTGC</v>
      </c>
      <c r="O63" s="2">
        <f t="shared" si="5"/>
        <v>154</v>
      </c>
      <c r="P63" t="str">
        <f t="shared" si="10"/>
        <v>GTTGCCTTTACCCAGCAAGTTGGCTGCTGTGCTCCTTTTCCG</v>
      </c>
    </row>
    <row r="64" spans="1:16" x14ac:dyDescent="0.25">
      <c r="A64" t="s">
        <v>7</v>
      </c>
      <c r="B64" t="s">
        <v>146</v>
      </c>
      <c r="C64" t="s">
        <v>75</v>
      </c>
      <c r="D64" t="str">
        <f t="shared" si="7"/>
        <v>A&gt;T</v>
      </c>
      <c r="E64">
        <v>9</v>
      </c>
      <c r="F64" t="str">
        <f t="shared" si="1"/>
        <v>chr9:132904434_chr9:132904455-132904456:A&gt;T</v>
      </c>
      <c r="G64" t="s">
        <v>176</v>
      </c>
      <c r="H64" t="s">
        <v>248</v>
      </c>
      <c r="I64" t="s">
        <v>326</v>
      </c>
      <c r="J64" t="s">
        <v>327</v>
      </c>
      <c r="K64" t="str">
        <f t="shared" si="11"/>
        <v>TGGGGCCTGAAGACCTGACTGAAGTGATCTAACTTTGCTGCAAATAAAAGTCCAGATACGTTTTTTTCTTGGTAAGATCGGTAACTTTGTTACTCAAAAACTTTCTTCCTTGGTTGCCTTTACCCAGCAAGTCTGCTGCTGTGCTCCTTTTCCG</v>
      </c>
      <c r="L64" s="1" t="str">
        <f t="shared" si="3"/>
        <v>CAAGT</v>
      </c>
      <c r="M64" t="str">
        <f t="shared" si="12"/>
        <v>GCTGC</v>
      </c>
      <c r="N64" t="str">
        <f t="shared" si="4"/>
        <v>CAAGTCTGCTGC</v>
      </c>
      <c r="O64" s="2">
        <f t="shared" si="5"/>
        <v>154</v>
      </c>
      <c r="P64" t="str">
        <f t="shared" si="10"/>
        <v>GTTGCCTTTACCCAGCAAGTCTGCTGCTGTGCTCCTTTTCCG</v>
      </c>
    </row>
    <row r="65" spans="1:16" x14ac:dyDescent="0.25">
      <c r="A65" t="s">
        <v>7</v>
      </c>
      <c r="B65" t="s">
        <v>146</v>
      </c>
      <c r="C65" t="s">
        <v>76</v>
      </c>
      <c r="D65" t="str">
        <f t="shared" si="7"/>
        <v>T&gt;G</v>
      </c>
      <c r="E65">
        <v>9</v>
      </c>
      <c r="F65" t="str">
        <f t="shared" si="1"/>
        <v>chr9:132904434_chr9:132904472-132904473:T&gt;G</v>
      </c>
      <c r="G65" t="s">
        <v>178</v>
      </c>
      <c r="H65" t="s">
        <v>249</v>
      </c>
      <c r="I65" t="s">
        <v>326</v>
      </c>
      <c r="J65" t="s">
        <v>327</v>
      </c>
      <c r="K65" t="str">
        <f t="shared" si="11"/>
        <v>TGGGGCCTGAAGACCTGACTGAAGTGATCTAACTTTGCTGCAAATAAAAGTCCAGATACGTTTTTTTCTTGGTAAGATCGGTAACTTTGTTACGCAAAAACTTTCTTCCTAGGTTGCCTTTACCCAGCAAGTGCGCTGCTGTGCTCCTTTTCCG</v>
      </c>
      <c r="L65" s="1" t="str">
        <f t="shared" si="3"/>
        <v>CAAGT</v>
      </c>
      <c r="M65" t="str">
        <f t="shared" si="12"/>
        <v>GCTGC</v>
      </c>
      <c r="N65" t="str">
        <f t="shared" si="4"/>
        <v>CAAGTGCGCTGC</v>
      </c>
      <c r="O65" s="2">
        <f t="shared" si="5"/>
        <v>154</v>
      </c>
      <c r="P65" t="str">
        <f t="shared" si="10"/>
        <v>GTTGCCTTTACCCAGCAAGTGCGCTGCTGTGCTCCTTTTCCG</v>
      </c>
    </row>
    <row r="66" spans="1:16" x14ac:dyDescent="0.25">
      <c r="A66" t="s">
        <v>7</v>
      </c>
      <c r="B66" t="s">
        <v>146</v>
      </c>
      <c r="C66" t="s">
        <v>77</v>
      </c>
      <c r="D66" t="str">
        <f t="shared" si="7"/>
        <v>T&gt;-</v>
      </c>
      <c r="E66">
        <v>9</v>
      </c>
      <c r="F66" t="str">
        <f t="shared" si="1"/>
        <v>chr9:132904434_chr9:132904499-132904500:T&gt;-</v>
      </c>
      <c r="G66" t="s">
        <v>171</v>
      </c>
      <c r="H66" t="s">
        <v>250</v>
      </c>
      <c r="I66" t="s">
        <v>326</v>
      </c>
      <c r="J66" t="s">
        <v>327</v>
      </c>
      <c r="K66" t="str">
        <f t="shared" ref="K66:K97" si="13">(I66&amp;H66&amp;G66&amp;J66)</f>
        <v>TGGGGCCTGAAGACCTGACTGAAGTGATCTAACTTTGCTGCAAATAAAAGTCCAGATACGTTTTTTCTTGGTAAGATCGGTAACTTTGTTACTCAAAAACTTTCTTCCTAGGTTGCCTTTACCCAGCAAGTACGCTGCTGTGCTCCTTTTCCG</v>
      </c>
      <c r="L66" s="1" t="str">
        <f t="shared" si="3"/>
        <v>CAAGT</v>
      </c>
      <c r="M66" t="str">
        <f t="shared" ref="M66:M97" si="14">LEFT(J66,5)</f>
        <v>GCTGC</v>
      </c>
      <c r="N66" t="str">
        <f t="shared" si="4"/>
        <v>CAAGTACGCTGC</v>
      </c>
      <c r="O66" s="2">
        <f t="shared" si="5"/>
        <v>153</v>
      </c>
      <c r="P66" t="str">
        <f t="shared" si="10"/>
        <v>GTTGCCTTTACCCAGCAAGTACGCTGCTGTGCTCCTTTTCCG</v>
      </c>
    </row>
    <row r="67" spans="1:16" x14ac:dyDescent="0.25">
      <c r="A67" t="s">
        <v>7</v>
      </c>
      <c r="B67" t="s">
        <v>146</v>
      </c>
      <c r="C67" t="s">
        <v>78</v>
      </c>
      <c r="D67" t="str">
        <f t="shared" si="7"/>
        <v>G&gt;A</v>
      </c>
      <c r="E67">
        <v>9</v>
      </c>
      <c r="F67" t="str">
        <f t="shared" ref="F67:F130" si="15">(A67&amp;"_"&amp;C67)</f>
        <v>chr9:132904434_chr9:132904506-132904507:G&gt;A</v>
      </c>
      <c r="G67" t="s">
        <v>175</v>
      </c>
      <c r="H67" t="s">
        <v>251</v>
      </c>
      <c r="I67" t="s">
        <v>326</v>
      </c>
      <c r="J67" t="s">
        <v>327</v>
      </c>
      <c r="K67" t="str">
        <f t="shared" si="13"/>
        <v>TGGGGCCTGAAGACCTGACTGAAGTGATCTAACTTTGCTGCAAATAAAAGTCCAGATACATTTTTTTCTTGGTAAGATCGGTAACTTTGTTACTCAAAAACTTTCTTCCTAGGTTGCCTTTACCCAGCAAGTCGGCTGCTGTGCTCCTTTTCCG</v>
      </c>
      <c r="L67" s="1" t="str">
        <f t="shared" ref="L67:L130" si="16">RIGHT(H67,5)</f>
        <v>CAAGT</v>
      </c>
      <c r="M67" t="str">
        <f t="shared" si="14"/>
        <v>GCTGC</v>
      </c>
      <c r="N67" t="str">
        <f t="shared" ref="N67:N130" si="17">(L67&amp;G67&amp;M67)</f>
        <v>CAAGTCGGCTGC</v>
      </c>
      <c r="O67" s="2">
        <f t="shared" ref="O67:O130" si="18">LEN(K67)</f>
        <v>154</v>
      </c>
      <c r="P67" t="str">
        <f t="shared" si="10"/>
        <v>GTTGCCTTTACCCAGCAAGTCGGCTGCTGTGCTCCTTTTCCG</v>
      </c>
    </row>
    <row r="68" spans="1:16" x14ac:dyDescent="0.25">
      <c r="A68" t="s">
        <v>7</v>
      </c>
      <c r="B68" t="s">
        <v>146</v>
      </c>
      <c r="C68" t="s">
        <v>79</v>
      </c>
      <c r="D68" t="str">
        <f t="shared" ref="D68:D131" si="19">RIGHT(C68,3)</f>
        <v>C&gt;T</v>
      </c>
      <c r="E68">
        <v>9</v>
      </c>
      <c r="F68" t="str">
        <f t="shared" si="15"/>
        <v>chr9:132904434_chr9:132904507-132904508:C&gt;T</v>
      </c>
      <c r="G68" t="s">
        <v>182</v>
      </c>
      <c r="H68" t="s">
        <v>252</v>
      </c>
      <c r="I68" t="s">
        <v>326</v>
      </c>
      <c r="J68" t="s">
        <v>327</v>
      </c>
      <c r="K68" t="str">
        <f t="shared" si="13"/>
        <v>TGGGGCCTGAAGACCTGACTGAAGTGATCTAACTTTGCTGCAAATAAAAGTCCAGATATGTTTTTTTCTTGGTAAGATCGGTAACTTTGTTACTCAAAAACTTTCTTCCTAGGTTGCCTTTACCCAGCAAGTGTGCTGCTGTGCTCCTTTTCCG</v>
      </c>
      <c r="L68" s="1" t="str">
        <f t="shared" si="16"/>
        <v>CAAGT</v>
      </c>
      <c r="M68" t="str">
        <f t="shared" si="14"/>
        <v>GCTGC</v>
      </c>
      <c r="N68" t="str">
        <f t="shared" si="17"/>
        <v>CAAGTGTGCTGC</v>
      </c>
      <c r="O68" s="2">
        <f t="shared" si="18"/>
        <v>154</v>
      </c>
      <c r="P68" t="str">
        <f t="shared" si="10"/>
        <v>GTTGCCTTTACCCAGCAAGTGTGCTGCTGTGCTCCTTTTCCG</v>
      </c>
    </row>
    <row r="69" spans="1:16" x14ac:dyDescent="0.25">
      <c r="A69" t="s">
        <v>8</v>
      </c>
      <c r="D69" t="s">
        <v>167</v>
      </c>
      <c r="F69" t="str">
        <f t="shared" si="15"/>
        <v>chr9:132906119_</v>
      </c>
      <c r="G69" t="s">
        <v>183</v>
      </c>
      <c r="H69" t="s">
        <v>253</v>
      </c>
      <c r="I69" t="s">
        <v>326</v>
      </c>
      <c r="J69" t="s">
        <v>327</v>
      </c>
      <c r="K69" t="str">
        <f t="shared" si="13"/>
        <v>TGGGGCCTGAAGACCTGACTACTGGCATGTGGCAGCATGCCACCCAAACTGCCTAGTCTTTCCCAGGTGGAATACCGACTGCCATTTCTTTTGTTTCCTCTCTTCCTCTCAGCTGCAATATCTAGAGAACTTTAGCTGCTGTGCTCCTTTTCCG</v>
      </c>
      <c r="L69" s="1" t="str">
        <f t="shared" si="16"/>
        <v>AACTT</v>
      </c>
      <c r="M69" t="str">
        <f t="shared" si="14"/>
        <v>GCTGC</v>
      </c>
      <c r="N69" t="str">
        <f t="shared" si="17"/>
        <v>AACTTTAGCTGC</v>
      </c>
      <c r="O69" s="2">
        <f t="shared" si="18"/>
        <v>154</v>
      </c>
      <c r="P69" t="str">
        <f t="shared" si="10"/>
        <v>CTGCAATATCTAGAGAACTTTAGCTGCTGTGCTCCTTTTCCG</v>
      </c>
    </row>
    <row r="70" spans="1:16" x14ac:dyDescent="0.25">
      <c r="A70" t="s">
        <v>8</v>
      </c>
      <c r="B70" t="s">
        <v>147</v>
      </c>
      <c r="C70" t="s">
        <v>80</v>
      </c>
      <c r="D70" t="str">
        <f t="shared" si="19"/>
        <v>G&gt;A</v>
      </c>
      <c r="E70">
        <v>11</v>
      </c>
      <c r="F70" t="str">
        <f t="shared" si="15"/>
        <v>chr9:132906119_chr9:132906139-132906140:G&gt;A</v>
      </c>
      <c r="G70" t="s">
        <v>172</v>
      </c>
      <c r="H70" t="s">
        <v>254</v>
      </c>
      <c r="I70" t="s">
        <v>326</v>
      </c>
      <c r="J70" t="s">
        <v>327</v>
      </c>
      <c r="K70" t="str">
        <f t="shared" si="13"/>
        <v>TGGGGCCTGAAGACCTGACTACTGGCATGTGGCAGCATGCCACCCAAACTGCCTAGTCTTTCCCAGGTGGAATACCGACTGCCATTTCTTTTGTTTCCTCTCTTCCTCTCAACTGCAATATCTAGAGAACTTAGGCTGCTGTGCTCCTTTTCCG</v>
      </c>
      <c r="L70" s="1" t="str">
        <f t="shared" si="16"/>
        <v>AACTT</v>
      </c>
      <c r="M70" t="str">
        <f t="shared" si="14"/>
        <v>GCTGC</v>
      </c>
      <c r="N70" t="str">
        <f t="shared" si="17"/>
        <v>AACTTAGGCTGC</v>
      </c>
      <c r="O70" s="2">
        <f t="shared" si="18"/>
        <v>154</v>
      </c>
      <c r="P70" t="str">
        <f t="shared" si="10"/>
        <v>CTGCAATATCTAGAGAACTTAGGCTGCTGTGCTCCTTTTCCG</v>
      </c>
    </row>
    <row r="71" spans="1:16" x14ac:dyDescent="0.25">
      <c r="A71" t="s">
        <v>8</v>
      </c>
      <c r="B71" t="s">
        <v>147</v>
      </c>
      <c r="C71" t="s">
        <v>81</v>
      </c>
      <c r="D71" t="str">
        <f t="shared" si="19"/>
        <v>A&gt;T</v>
      </c>
      <c r="E71">
        <v>11</v>
      </c>
      <c r="F71" t="str">
        <f t="shared" si="15"/>
        <v>chr9:132906119_chr9:132906140-132906141:A&gt;T</v>
      </c>
      <c r="G71" s="4" t="s">
        <v>351</v>
      </c>
      <c r="H71" t="s">
        <v>255</v>
      </c>
      <c r="I71" t="s">
        <v>326</v>
      </c>
      <c r="J71" t="s">
        <v>327</v>
      </c>
      <c r="K71" t="str">
        <f t="shared" si="13"/>
        <v>TGGGGCCTGAAGACCTGACTACTGGCATGTGGCAGCATGCCACCCAAACTGCCTAGTCTTTCCCAGGTGGAATACCGACTGCCATTTCTTTTGTTTCCTCTCTTCCTCTCTGCTGCAATATCTAGAGAACTTAAGCTGCTGTGCTCCTTTTCCG</v>
      </c>
      <c r="L71" s="1" t="str">
        <f t="shared" si="16"/>
        <v>AACTT</v>
      </c>
      <c r="M71" t="str">
        <f t="shared" si="14"/>
        <v>GCTGC</v>
      </c>
      <c r="N71" t="str">
        <f t="shared" si="17"/>
        <v>AACTTAAGCTGC</v>
      </c>
      <c r="O71" s="2">
        <f t="shared" si="18"/>
        <v>154</v>
      </c>
      <c r="P71" t="str">
        <f t="shared" si="10"/>
        <v>CTGCAATATCTAGAGAACTTAAGCTGCTGTGCTCCTTTTCCG</v>
      </c>
    </row>
    <row r="72" spans="1:16" x14ac:dyDescent="0.25">
      <c r="A72" t="s">
        <v>8</v>
      </c>
      <c r="B72" t="s">
        <v>147</v>
      </c>
      <c r="C72" t="s">
        <v>82</v>
      </c>
      <c r="D72" t="str">
        <f t="shared" si="19"/>
        <v>A&gt;G</v>
      </c>
      <c r="E72">
        <v>11</v>
      </c>
      <c r="F72" t="str">
        <f t="shared" si="15"/>
        <v>chr9:132906119_chr9:132906140-132906141:A&gt;G</v>
      </c>
      <c r="G72" t="s">
        <v>173</v>
      </c>
      <c r="H72" t="s">
        <v>256</v>
      </c>
      <c r="I72" t="s">
        <v>326</v>
      </c>
      <c r="J72" t="s">
        <v>327</v>
      </c>
      <c r="K72" t="str">
        <f t="shared" si="13"/>
        <v>TGGGGCCTGAAGACCTGACTACTGGCATGTGGCAGCATGCCACCCAAACTGCCTAGTCTTTCCCAGGTGGAATACCGACTGCCATTTCTTTTGTTTCCTCTCTTCCTCTCGGCTGCAATATCTAGAGAACTTATGCTGCTGTGCTCCTTTTCCG</v>
      </c>
      <c r="L72" s="1" t="str">
        <f t="shared" si="16"/>
        <v>AACTT</v>
      </c>
      <c r="M72" t="str">
        <f t="shared" si="14"/>
        <v>GCTGC</v>
      </c>
      <c r="N72" t="str">
        <f t="shared" si="17"/>
        <v>AACTTATGCTGC</v>
      </c>
      <c r="O72" s="2">
        <f t="shared" si="18"/>
        <v>154</v>
      </c>
      <c r="P72" t="str">
        <f t="shared" si="10"/>
        <v>CTGCAATATCTAGAGAACTTATGCTGCTGTGCTCCTTTTCCG</v>
      </c>
    </row>
    <row r="73" spans="1:16" x14ac:dyDescent="0.25">
      <c r="A73" t="s">
        <v>8</v>
      </c>
      <c r="B73" t="s">
        <v>147</v>
      </c>
      <c r="C73" t="s">
        <v>83</v>
      </c>
      <c r="D73" t="str">
        <f t="shared" si="19"/>
        <v>A&gt;C</v>
      </c>
      <c r="E73">
        <v>11</v>
      </c>
      <c r="F73" t="str">
        <f t="shared" si="15"/>
        <v>chr9:132906119_chr9:132906140-132906141:A&gt;C</v>
      </c>
      <c r="G73" t="s">
        <v>337</v>
      </c>
      <c r="H73" t="s">
        <v>257</v>
      </c>
      <c r="I73" t="s">
        <v>326</v>
      </c>
      <c r="J73" t="s">
        <v>327</v>
      </c>
      <c r="K73" t="str">
        <f t="shared" si="13"/>
        <v>TGGGGCCTGAAGACCTGACTACTGGCATGTGGCAGCATGCCACCCAAACTGCCTAGTCTTTCCCAGGTGGAATACCGACTGCCATTTCTTTTGTTTCCTCTCTTCCTCTCCGCTGCAATATCTAGAGAACTTTGGCTGCTGTGCTCCTTTTCCG</v>
      </c>
      <c r="L73" s="1" t="str">
        <f t="shared" si="16"/>
        <v>AACTT</v>
      </c>
      <c r="M73" t="str">
        <f t="shared" si="14"/>
        <v>GCTGC</v>
      </c>
      <c r="N73" t="str">
        <f t="shared" si="17"/>
        <v>AACTTTGGCTGC</v>
      </c>
      <c r="O73" s="2">
        <f t="shared" si="18"/>
        <v>154</v>
      </c>
      <c r="P73" t="str">
        <f t="shared" si="10"/>
        <v>CTGCAATATCTAGAGAACTTTGGCTGCTGTGCTCCTTTTCCG</v>
      </c>
    </row>
    <row r="74" spans="1:16" x14ac:dyDescent="0.25">
      <c r="A74" t="s">
        <v>8</v>
      </c>
      <c r="B74" t="s">
        <v>147</v>
      </c>
      <c r="C74" t="s">
        <v>84</v>
      </c>
      <c r="D74" t="str">
        <f t="shared" si="19"/>
        <v>T&gt;C</v>
      </c>
      <c r="E74">
        <v>11</v>
      </c>
      <c r="F74" t="str">
        <f t="shared" si="15"/>
        <v>chr9:132906119_chr9:132906142-132906143:T&gt;C</v>
      </c>
      <c r="G74" s="4" t="s">
        <v>352</v>
      </c>
      <c r="H74" t="s">
        <v>258</v>
      </c>
      <c r="I74" t="s">
        <v>326</v>
      </c>
      <c r="J74" t="s">
        <v>327</v>
      </c>
      <c r="K74" t="str">
        <f t="shared" si="13"/>
        <v>TGGGGCCTGAAGACCTGACTACTGGCATGTGGCAGCATGCCACCCAAACTGCCTAGTCTTTCCCAGGTGGAATACCGACTGCCATTTCTTTTGTTTCCTCTCTTCCTCCCAGCTGCAATATCTAGAGAACTTGGGCTGCTGTGCTCCTTTTCCG</v>
      </c>
      <c r="L74" s="1" t="str">
        <f t="shared" si="16"/>
        <v>AACTT</v>
      </c>
      <c r="M74" t="str">
        <f t="shared" si="14"/>
        <v>GCTGC</v>
      </c>
      <c r="N74" t="str">
        <f t="shared" si="17"/>
        <v>AACTTGGGCTGC</v>
      </c>
      <c r="O74" s="2">
        <f t="shared" si="18"/>
        <v>154</v>
      </c>
      <c r="P74" t="str">
        <f t="shared" si="10"/>
        <v>CTGCAATATCTAGAGAACTTGGGCTGCTGTGCTCCTTTTCCG</v>
      </c>
    </row>
    <row r="75" spans="1:16" x14ac:dyDescent="0.25">
      <c r="A75" t="s">
        <v>8</v>
      </c>
      <c r="B75" t="s">
        <v>147</v>
      </c>
      <c r="C75" t="s">
        <v>161</v>
      </c>
      <c r="D75" t="s">
        <v>162</v>
      </c>
      <c r="E75">
        <v>11</v>
      </c>
      <c r="F75" t="str">
        <f t="shared" si="15"/>
        <v>chr9:132906119_chr9:132906147-132906159:GTTTCCTCTCTT&gt;-</v>
      </c>
      <c r="G75" t="s">
        <v>178</v>
      </c>
      <c r="H75" t="s">
        <v>259</v>
      </c>
      <c r="I75" t="s">
        <v>326</v>
      </c>
      <c r="J75" t="s">
        <v>327</v>
      </c>
      <c r="K75" t="str">
        <f t="shared" si="13"/>
        <v>TGGGGCCTGAAGACCTGACTACTGGCATGTGGCAGCATGCCACCCAAACTGCCTAGTCTTTCCCAGGTGGAATACCGACTGCCATTTCTTTTCCTCTCAGCTGCAATATCTAGAGAACTTGCGCTGCTGTGCTCCTTTTCCG</v>
      </c>
      <c r="L75" s="1" t="str">
        <f t="shared" si="16"/>
        <v>AACTT</v>
      </c>
      <c r="M75" t="str">
        <f t="shared" si="14"/>
        <v>GCTGC</v>
      </c>
      <c r="N75" t="str">
        <f t="shared" si="17"/>
        <v>AACTTGCGCTGC</v>
      </c>
      <c r="O75" s="2">
        <f t="shared" si="18"/>
        <v>142</v>
      </c>
      <c r="P75" t="str">
        <f t="shared" si="10"/>
        <v>CTGCAATATCTAGAGAACTTGCGCTGCTGTGCTCCTTTTCCG</v>
      </c>
    </row>
    <row r="76" spans="1:16" x14ac:dyDescent="0.25">
      <c r="A76" t="s">
        <v>8</v>
      </c>
      <c r="B76" t="s">
        <v>147</v>
      </c>
      <c r="C76" t="s">
        <v>85</v>
      </c>
      <c r="D76" t="str">
        <f t="shared" si="19"/>
        <v>T&gt;A</v>
      </c>
      <c r="E76">
        <v>11</v>
      </c>
      <c r="F76" t="str">
        <f t="shared" si="15"/>
        <v>chr9:132906119_chr9:132906148-132906149:T&gt;A</v>
      </c>
      <c r="G76" t="s">
        <v>171</v>
      </c>
      <c r="H76" t="s">
        <v>260</v>
      </c>
      <c r="I76" t="s">
        <v>326</v>
      </c>
      <c r="J76" t="s">
        <v>327</v>
      </c>
      <c r="K76" t="str">
        <f t="shared" si="13"/>
        <v>TGGGGCCTGAAGACCTGACTACTGGCATGTGGCAGCATGCCACCCAAACTGCCTAGTCTTTCCCAGGTGGAATACCGACTGCCATTTCTTTTGTTTCCTCTCATCCTCTCAGCTGCAATATCTAGAGAACTTACGCTGCTGTGCTCCTTTTCCG</v>
      </c>
      <c r="L76" s="1" t="str">
        <f t="shared" si="16"/>
        <v>AACTT</v>
      </c>
      <c r="M76" t="str">
        <f t="shared" si="14"/>
        <v>GCTGC</v>
      </c>
      <c r="N76" t="str">
        <f t="shared" si="17"/>
        <v>AACTTACGCTGC</v>
      </c>
      <c r="O76" s="2">
        <f t="shared" si="18"/>
        <v>154</v>
      </c>
      <c r="P76" t="str">
        <f t="shared" si="10"/>
        <v>CTGCAATATCTAGAGAACTTACGCTGCTGTGCTCCTTTTCCG</v>
      </c>
    </row>
    <row r="77" spans="1:16" x14ac:dyDescent="0.25">
      <c r="A77" t="s">
        <v>8</v>
      </c>
      <c r="B77" t="s">
        <v>147</v>
      </c>
      <c r="C77" t="s">
        <v>86</v>
      </c>
      <c r="D77" t="str">
        <f t="shared" si="19"/>
        <v>C&gt;T</v>
      </c>
      <c r="E77">
        <v>11</v>
      </c>
      <c r="F77" t="str">
        <f t="shared" si="15"/>
        <v>chr9:132906119_chr9:132906151-132906152:C&gt;T</v>
      </c>
      <c r="G77" s="4" t="s">
        <v>353</v>
      </c>
      <c r="H77" t="s">
        <v>261</v>
      </c>
      <c r="I77" t="s">
        <v>326</v>
      </c>
      <c r="J77" t="s">
        <v>327</v>
      </c>
      <c r="K77" t="str">
        <f t="shared" si="13"/>
        <v>TGGGGCCTGAAGACCTGACTACTGGCATGTGGCAGCATGCCACCCAAACTGCCTAGTCTTTCCCAGGTGGAATACCGACTGCCATTTCTTTTGTTTCCTTTCTTCCTCTCAGCTGCAATATCTAGAGAACTTTTGCTGCTGTGCTCCTTTTCCG</v>
      </c>
      <c r="L77" s="1" t="str">
        <f t="shared" si="16"/>
        <v>AACTT</v>
      </c>
      <c r="M77" t="str">
        <f t="shared" si="14"/>
        <v>GCTGC</v>
      </c>
      <c r="N77" t="str">
        <f t="shared" si="17"/>
        <v>AACTTTTGCTGC</v>
      </c>
      <c r="O77" s="2">
        <f t="shared" si="18"/>
        <v>154</v>
      </c>
      <c r="P77" t="str">
        <f t="shared" si="10"/>
        <v>CTGCAATATCTAGAGAACTTTTGCTGCTGTGCTCCTTTTCCG</v>
      </c>
    </row>
    <row r="78" spans="1:16" x14ac:dyDescent="0.25">
      <c r="A78" t="s">
        <v>8</v>
      </c>
      <c r="B78" t="s">
        <v>147</v>
      </c>
      <c r="C78" t="s">
        <v>87</v>
      </c>
      <c r="D78" t="str">
        <f t="shared" si="19"/>
        <v>T&gt;-</v>
      </c>
      <c r="E78">
        <v>11</v>
      </c>
      <c r="F78" t="str">
        <f t="shared" si="15"/>
        <v>chr9:132906119_chr9:132906159-132906160:T&gt;-</v>
      </c>
      <c r="G78" t="s">
        <v>182</v>
      </c>
      <c r="H78" t="s">
        <v>262</v>
      </c>
      <c r="I78" t="s">
        <v>326</v>
      </c>
      <c r="J78" t="s">
        <v>327</v>
      </c>
      <c r="K78" t="str">
        <f t="shared" si="13"/>
        <v>TGGGGCCTGAAGACCTGACTACTGGCATGTGGCAGCATGCCACCCAAACTGCCTAGTCTTTCCCAGGTGGAATACCGACTGCCATTTCTTTGTTTCCTCTCTTCCTCTCAGCTGCAATATCTAGAGAACTTGTGCTGCTGTGCTCCTTTTCCG</v>
      </c>
      <c r="L78" s="1" t="str">
        <f t="shared" si="16"/>
        <v>AACTT</v>
      </c>
      <c r="M78" t="str">
        <f t="shared" si="14"/>
        <v>GCTGC</v>
      </c>
      <c r="N78" t="str">
        <f t="shared" si="17"/>
        <v>AACTTGTGCTGC</v>
      </c>
      <c r="O78" s="2">
        <f t="shared" si="18"/>
        <v>153</v>
      </c>
      <c r="P78" t="str">
        <f t="shared" si="10"/>
        <v>CTGCAATATCTAGAGAACTTGTGCTGCTGTGCTCCTTTTCCG</v>
      </c>
    </row>
    <row r="79" spans="1:16" x14ac:dyDescent="0.25">
      <c r="A79" t="s">
        <v>8</v>
      </c>
      <c r="B79" t="s">
        <v>147</v>
      </c>
      <c r="C79" t="s">
        <v>88</v>
      </c>
      <c r="D79" t="str">
        <f t="shared" si="19"/>
        <v>C&gt;A</v>
      </c>
      <c r="E79">
        <v>11</v>
      </c>
      <c r="F79" t="str">
        <f t="shared" si="15"/>
        <v>chr9:132906119_chr9:132906163-132906164:C&gt;A</v>
      </c>
      <c r="G79" t="s">
        <v>177</v>
      </c>
      <c r="H79" t="s">
        <v>263</v>
      </c>
      <c r="I79" t="s">
        <v>326</v>
      </c>
      <c r="J79" t="s">
        <v>327</v>
      </c>
      <c r="K79" t="str">
        <f t="shared" si="13"/>
        <v>TGGGGCCTGAAGACCTGACTACTGGCATGTGGCAGCATGCCACCCAAACTGCCTAGTCTTTCCCAGGTGGAATACCGACTGCCATTTATTTTGTTTCCTCTCTTCCTCTCAGCTGCAATATCTAGAGAACTTGAGCTGCTGTGCTCCTTTTCCG</v>
      </c>
      <c r="L79" s="1" t="str">
        <f t="shared" si="16"/>
        <v>AACTT</v>
      </c>
      <c r="M79" t="str">
        <f t="shared" si="14"/>
        <v>GCTGC</v>
      </c>
      <c r="N79" t="str">
        <f t="shared" si="17"/>
        <v>AACTTGAGCTGC</v>
      </c>
      <c r="O79" s="2">
        <f t="shared" si="18"/>
        <v>154</v>
      </c>
      <c r="P79" t="str">
        <f t="shared" si="10"/>
        <v>CTGCAATATCTAGAGAACTTGAGCTGCTGTGCTCCTTTTCCG</v>
      </c>
    </row>
    <row r="80" spans="1:16" x14ac:dyDescent="0.25">
      <c r="A80" t="s">
        <v>8</v>
      </c>
      <c r="B80" t="s">
        <v>147</v>
      </c>
      <c r="C80" t="s">
        <v>89</v>
      </c>
      <c r="D80" t="str">
        <f t="shared" si="19"/>
        <v>C&gt;T</v>
      </c>
      <c r="E80">
        <v>11</v>
      </c>
      <c r="F80" t="str">
        <f t="shared" si="15"/>
        <v>chr9:132906119_chr9:132906175-132906176:C&gt;T</v>
      </c>
      <c r="G80" t="s">
        <v>184</v>
      </c>
      <c r="H80" t="s">
        <v>264</v>
      </c>
      <c r="I80" t="s">
        <v>326</v>
      </c>
      <c r="J80" t="s">
        <v>327</v>
      </c>
      <c r="K80" t="str">
        <f t="shared" si="13"/>
        <v>TGGGGCCTGAAGACCTGACTACTGGCATGTGGCAGCATGCCACCCAAACTGCCTAGTCTTTCCCAGGTGGAATACTGACTGCCATTTCTTTTGTTTCCTCTCTTCCTCTCAGCTGCAATATCTAGAGAACTTTCGCTGCTGTGCTCCTTTTCCG</v>
      </c>
      <c r="L80" s="1" t="str">
        <f t="shared" si="16"/>
        <v>AACTT</v>
      </c>
      <c r="M80" t="str">
        <f t="shared" si="14"/>
        <v>GCTGC</v>
      </c>
      <c r="N80" t="str">
        <f t="shared" si="17"/>
        <v>AACTTTCGCTGC</v>
      </c>
      <c r="O80" s="2">
        <f t="shared" si="18"/>
        <v>154</v>
      </c>
      <c r="P80" t="str">
        <f t="shared" si="10"/>
        <v>CTGCAATATCTAGAGAACTTTCGCTGCTGTGCTCCTTTTCCG</v>
      </c>
    </row>
    <row r="81" spans="1:16" x14ac:dyDescent="0.25">
      <c r="A81" t="s">
        <v>9</v>
      </c>
      <c r="D81" t="s">
        <v>167</v>
      </c>
      <c r="F81" t="str">
        <f t="shared" si="15"/>
        <v>chr9:132906815_</v>
      </c>
      <c r="G81" t="s">
        <v>183</v>
      </c>
      <c r="H81" t="s">
        <v>265</v>
      </c>
      <c r="I81" t="s">
        <v>326</v>
      </c>
      <c r="J81" t="s">
        <v>327</v>
      </c>
      <c r="K81" t="str">
        <f t="shared" si="13"/>
        <v>TGGGGCCTGAAGACCTGACTTTACAGACATATTCTATACAGTGTAAGCAGTTTTACACTTACAGGGATTACACTGTATTTCTTTGACTTCAGTTGTCTTTGTTTCTCTTCAGAAGAGCCACCTGGCAGCAAATAGCTGCTGTGCTCCTTTTCCG</v>
      </c>
      <c r="L81" s="1" t="str">
        <f t="shared" si="16"/>
        <v>GCAAA</v>
      </c>
      <c r="M81" t="str">
        <f t="shared" si="14"/>
        <v>GCTGC</v>
      </c>
      <c r="N81" t="str">
        <f t="shared" si="17"/>
        <v>GCAAATAGCTGC</v>
      </c>
      <c r="O81" s="2">
        <f t="shared" si="18"/>
        <v>154</v>
      </c>
      <c r="P81" t="str">
        <f t="shared" si="10"/>
        <v>AAGAGCCACCTGGCAGCAAATAGCTGCTGTGCTCCTTTTCCG</v>
      </c>
    </row>
    <row r="82" spans="1:16" x14ac:dyDescent="0.25">
      <c r="A82" t="s">
        <v>9</v>
      </c>
      <c r="B82" t="s">
        <v>148</v>
      </c>
      <c r="C82" t="s">
        <v>90</v>
      </c>
      <c r="D82" t="str">
        <f t="shared" si="19"/>
        <v>C&gt;G</v>
      </c>
      <c r="E82">
        <v>1</v>
      </c>
      <c r="F82" t="str">
        <f t="shared" si="15"/>
        <v>chr9:132906815_chr9:132906889-132906890:C&gt;G</v>
      </c>
      <c r="G82" t="s">
        <v>172</v>
      </c>
      <c r="H82" t="s">
        <v>266</v>
      </c>
      <c r="I82" t="s">
        <v>326</v>
      </c>
      <c r="J82" t="s">
        <v>327</v>
      </c>
      <c r="K82" t="str">
        <f t="shared" si="13"/>
        <v>TGGGGCCTGAAGACCTGACTTTACAGACATATTCTATACAGTGTAAGCAGTTTTACAGTTACAGGGATTACACTGTATTTCTTTGACTTCAGTTGTCTTTGTTTCTCTTCAGAAGAGCCACCTGGCAGCAAAAGGCTGCTGTGCTCCTTTTCCG</v>
      </c>
      <c r="L82" s="1" t="str">
        <f t="shared" si="16"/>
        <v>GCAAA</v>
      </c>
      <c r="M82" t="str">
        <f t="shared" si="14"/>
        <v>GCTGC</v>
      </c>
      <c r="N82" t="str">
        <f t="shared" si="17"/>
        <v>GCAAAAGGCTGC</v>
      </c>
      <c r="O82" s="2">
        <f t="shared" si="18"/>
        <v>154</v>
      </c>
      <c r="P82" t="str">
        <f t="shared" si="10"/>
        <v>AAGAGCCACCTGGCAGCAAAAGGCTGCTGTGCTCCTTTTCCG</v>
      </c>
    </row>
    <row r="83" spans="1:16" x14ac:dyDescent="0.25">
      <c r="A83" t="s">
        <v>10</v>
      </c>
      <c r="D83" t="s">
        <v>167</v>
      </c>
      <c r="F83" t="str">
        <f t="shared" si="15"/>
        <v>chr9:132907350_</v>
      </c>
      <c r="G83" t="s">
        <v>174</v>
      </c>
      <c r="H83" t="s">
        <v>267</v>
      </c>
      <c r="I83" t="s">
        <v>326</v>
      </c>
      <c r="J83" t="s">
        <v>327</v>
      </c>
      <c r="K83" t="str">
        <f t="shared" si="13"/>
        <v>TGGGGCCTGAAGACCTGACTCACTCGGCTGACCTTTAAACTACTTTACAATATGCTCGAGAACATGTGCAACATTTTTCGTCTTGTGATATAAATGATACTTATCTTTTCAGGAAGAGAGAATGGATTCTGCCAGCTGCTGTGCTCCTTTTCCG</v>
      </c>
      <c r="L83" s="1" t="str">
        <f t="shared" si="16"/>
        <v>TCTGC</v>
      </c>
      <c r="M83" t="str">
        <f t="shared" si="14"/>
        <v>GCTGC</v>
      </c>
      <c r="N83" t="str">
        <f t="shared" si="17"/>
        <v>TCTGCCAGCTGC</v>
      </c>
      <c r="O83" s="2">
        <f t="shared" si="18"/>
        <v>154</v>
      </c>
      <c r="P83" t="str">
        <f t="shared" si="10"/>
        <v>GAAGAGAGAATGGATTCTGCCAGCTGCTGTGCTCCTTTTCCG</v>
      </c>
    </row>
    <row r="84" spans="1:16" x14ac:dyDescent="0.25">
      <c r="A84" t="s">
        <v>10</v>
      </c>
      <c r="B84" t="s">
        <v>149</v>
      </c>
      <c r="C84" t="s">
        <v>91</v>
      </c>
      <c r="D84" t="str">
        <f t="shared" si="19"/>
        <v>G&gt;A</v>
      </c>
      <c r="E84">
        <v>4</v>
      </c>
      <c r="F84" t="str">
        <f t="shared" si="15"/>
        <v>chr9:132907350_chr9:132907370-132907371:G&gt;A</v>
      </c>
      <c r="G84" t="s">
        <v>173</v>
      </c>
      <c r="H84" t="s">
        <v>268</v>
      </c>
      <c r="I84" t="s">
        <v>326</v>
      </c>
      <c r="J84" t="s">
        <v>327</v>
      </c>
      <c r="K84" t="str">
        <f t="shared" si="13"/>
        <v>TGGGGCCTGAAGACCTGACTCACTCGGCTGACCTTTAAACTACTTTACAATATGCTCGAGAACATGTGCAACATTTTTCGTCTTGTGATATAAATGATACTTATCTTTTCAAGAAGAGAGAATGGATTCTGCATGCTGCTGTGCTCCTTTTCCG</v>
      </c>
      <c r="L84" s="1" t="str">
        <f t="shared" si="16"/>
        <v>TCTGC</v>
      </c>
      <c r="M84" t="str">
        <f t="shared" si="14"/>
        <v>GCTGC</v>
      </c>
      <c r="N84" t="str">
        <f t="shared" si="17"/>
        <v>TCTGCATGCTGC</v>
      </c>
      <c r="O84" s="2">
        <f t="shared" si="18"/>
        <v>154</v>
      </c>
      <c r="P84" t="str">
        <f t="shared" si="10"/>
        <v>GAAGAGAGAATGGATTCTGCATGCTGCTGTGCTCCTTTTCCG</v>
      </c>
    </row>
    <row r="85" spans="1:16" x14ac:dyDescent="0.25">
      <c r="A85" t="s">
        <v>10</v>
      </c>
      <c r="B85" t="s">
        <v>168</v>
      </c>
      <c r="C85" t="s">
        <v>92</v>
      </c>
      <c r="D85" t="str">
        <f t="shared" si="19"/>
        <v>T&gt;A</v>
      </c>
      <c r="E85">
        <v>4</v>
      </c>
      <c r="F85" t="str">
        <f t="shared" si="15"/>
        <v>chr9:132907350_chr9:132907375-132907376:T&gt;A</v>
      </c>
      <c r="G85" t="s">
        <v>349</v>
      </c>
      <c r="H85" t="s">
        <v>269</v>
      </c>
      <c r="I85" t="s">
        <v>326</v>
      </c>
      <c r="J85" t="s">
        <v>327</v>
      </c>
      <c r="K85" t="str">
        <f t="shared" si="13"/>
        <v>TGGGGCCTGAAGACCTGACTCACTCGGCTGACCTTTAAACTACTTTACAATATGCTCGAGAACATGTGCAACATTTTTCGTCTTGTGATATAAATGATACTTATCTATTCAGGAAGAGAGAATGGATTCTGCTGGCTGCTGTGCTCCTTTTCCG</v>
      </c>
      <c r="L85" s="1" t="str">
        <f t="shared" si="16"/>
        <v>TCTGC</v>
      </c>
      <c r="M85" t="str">
        <f t="shared" si="14"/>
        <v>GCTGC</v>
      </c>
      <c r="N85" t="str">
        <f t="shared" si="17"/>
        <v>TCTGCTGGCTGC</v>
      </c>
      <c r="O85" s="2">
        <f t="shared" si="18"/>
        <v>154</v>
      </c>
      <c r="P85" t="str">
        <f t="shared" si="10"/>
        <v>GAAGAGAGAATGGATTCTGCTGGCTGCTGTGCTCCTTTTCCG</v>
      </c>
    </row>
    <row r="86" spans="1:16" x14ac:dyDescent="0.25">
      <c r="A86" t="s">
        <v>10</v>
      </c>
      <c r="B86" t="s">
        <v>169</v>
      </c>
      <c r="C86" t="s">
        <v>93</v>
      </c>
      <c r="D86" t="str">
        <f t="shared" si="19"/>
        <v>T&gt;C</v>
      </c>
      <c r="E86">
        <v>4</v>
      </c>
      <c r="F86" t="str">
        <f t="shared" si="15"/>
        <v>chr9:132907350_chr9:132907378-132907379:T&gt;C</v>
      </c>
      <c r="G86" t="s">
        <v>176</v>
      </c>
      <c r="H86" t="s">
        <v>270</v>
      </c>
      <c r="I86" t="s">
        <v>326</v>
      </c>
      <c r="J86" t="s">
        <v>327</v>
      </c>
      <c r="K86" t="str">
        <f t="shared" si="13"/>
        <v>TGGGGCCTGAAGACCTGACTCACTCGGCTGACCTTTAAACTACTTTACAATATGCTCGAGAACATGTGCAACATTTTTCGTCTTGTGATATAAATGATACTTACCTTTTCAGGAAGAGAGAATGGATTCTGCCTGCTGCTGTGCTCCTTTTCCG</v>
      </c>
      <c r="L86" s="1" t="str">
        <f t="shared" si="16"/>
        <v>TCTGC</v>
      </c>
      <c r="M86" t="str">
        <f t="shared" si="14"/>
        <v>GCTGC</v>
      </c>
      <c r="N86" t="str">
        <f t="shared" si="17"/>
        <v>TCTGCCTGCTGC</v>
      </c>
      <c r="O86" s="2">
        <f t="shared" si="18"/>
        <v>154</v>
      </c>
      <c r="P86" t="str">
        <f t="shared" si="10"/>
        <v>GAAGAGAGAATGGATTCTGCCTGCTGCTGTGCTCCTTTTCCG</v>
      </c>
    </row>
    <row r="87" spans="1:16" x14ac:dyDescent="0.25">
      <c r="A87" t="s">
        <v>10</v>
      </c>
      <c r="B87" t="s">
        <v>149</v>
      </c>
      <c r="C87" t="s">
        <v>94</v>
      </c>
      <c r="D87" t="str">
        <f t="shared" si="19"/>
        <v>T&gt;C</v>
      </c>
      <c r="E87">
        <v>4</v>
      </c>
      <c r="F87" t="str">
        <f t="shared" si="15"/>
        <v>chr9:132907350_chr9:132907381-132907382:T&gt;C</v>
      </c>
      <c r="G87" t="s">
        <v>178</v>
      </c>
      <c r="H87" t="s">
        <v>271</v>
      </c>
      <c r="I87" t="s">
        <v>326</v>
      </c>
      <c r="J87" t="s">
        <v>327</v>
      </c>
      <c r="K87" t="str">
        <f t="shared" si="13"/>
        <v>TGGGGCCTGAAGACCTGACTCACTCGGCTGACCTTTAAACTACTTTACAATATGCTCGAGAACATGTGCAACATTTTTCGTCTTGTGATATAAATGATACCTATCTTTTCAGGAAGAGAGAATGGATTCTGCGCGCTGCTGTGCTCCTTTTCCG</v>
      </c>
      <c r="L87" s="1" t="str">
        <f t="shared" si="16"/>
        <v>TCTGC</v>
      </c>
      <c r="M87" t="str">
        <f t="shared" si="14"/>
        <v>GCTGC</v>
      </c>
      <c r="N87" t="str">
        <f t="shared" si="17"/>
        <v>TCTGCGCGCTGC</v>
      </c>
      <c r="O87" s="2">
        <f t="shared" si="18"/>
        <v>154</v>
      </c>
      <c r="P87" t="str">
        <f t="shared" si="10"/>
        <v>GAAGAGAGAATGGATTCTGCGCGCTGCTGTGCTCCTTTTCCG</v>
      </c>
    </row>
    <row r="88" spans="1:16" x14ac:dyDescent="0.25">
      <c r="A88" t="s">
        <v>11</v>
      </c>
      <c r="D88" t="s">
        <v>167</v>
      </c>
      <c r="F88" t="str">
        <f t="shared" si="15"/>
        <v>chr9:132910672_</v>
      </c>
      <c r="G88" t="s">
        <v>171</v>
      </c>
      <c r="H88" t="s">
        <v>272</v>
      </c>
      <c r="I88" t="s">
        <v>326</v>
      </c>
      <c r="J88" t="s">
        <v>327</v>
      </c>
      <c r="K88" t="str">
        <f t="shared" si="13"/>
        <v>TGGGGCCTGAAGACCTGACTATTTATAGTAATAGTTATAGGCTGAAAAAAAATCGGCAGTTTTTCTAATAGTTGGGCTCAGTGTTCATATATGTTCTGCCCTTGTCTCTAAGCAGGTGGAAAAGGAACTCCTACGCTGCTGTGCTCCTTTTCCG</v>
      </c>
      <c r="L88" s="1" t="str">
        <f t="shared" si="16"/>
        <v>CTCCT</v>
      </c>
      <c r="M88" t="str">
        <f t="shared" si="14"/>
        <v>GCTGC</v>
      </c>
      <c r="N88" t="str">
        <f t="shared" si="17"/>
        <v>CTCCTACGCTGC</v>
      </c>
      <c r="O88" s="2">
        <f t="shared" si="18"/>
        <v>154</v>
      </c>
      <c r="P88" t="str">
        <f t="shared" si="10"/>
        <v>CAGGTGGAAAAGGAACTCCTACGCTGCTGTGCTCCTTTTCCG</v>
      </c>
    </row>
    <row r="89" spans="1:16" x14ac:dyDescent="0.25">
      <c r="A89" t="s">
        <v>11</v>
      </c>
      <c r="B89" t="s">
        <v>150</v>
      </c>
      <c r="C89" t="s">
        <v>95</v>
      </c>
      <c r="D89" t="str">
        <f t="shared" si="19"/>
        <v>G&gt;A</v>
      </c>
      <c r="E89">
        <v>3</v>
      </c>
      <c r="F89" t="str">
        <f t="shared" si="15"/>
        <v>chr9:132910672_chr9:132910700-132910701:G&gt;A</v>
      </c>
      <c r="G89" t="s">
        <v>175</v>
      </c>
      <c r="H89" t="s">
        <v>273</v>
      </c>
      <c r="I89" t="s">
        <v>326</v>
      </c>
      <c r="J89" t="s">
        <v>327</v>
      </c>
      <c r="K89" t="str">
        <f t="shared" si="13"/>
        <v>TGGGGCCTGAAGACCTGACTATTTATAGTAATAGTTATAGGCTGAAAAAAAATCGGCAGTTTTTCTAATAGTTGGGCTCAGTGTTCATATATGTTCTGCCCTTATCTCTAAGCAGGTGGAAAAGGAACTCCTCGGCTGCTGTGCTCCTTTTCCG</v>
      </c>
      <c r="L89" s="1" t="str">
        <f t="shared" si="16"/>
        <v>CTCCT</v>
      </c>
      <c r="M89" t="str">
        <f t="shared" si="14"/>
        <v>GCTGC</v>
      </c>
      <c r="N89" t="str">
        <f t="shared" si="17"/>
        <v>CTCCTCGGCTGC</v>
      </c>
      <c r="O89" s="2">
        <f t="shared" si="18"/>
        <v>154</v>
      </c>
      <c r="P89" t="str">
        <f t="shared" si="10"/>
        <v>CAGGTGGAAAAGGAACTCCTCGGCTGCTGTGCTCCTTTTCCG</v>
      </c>
    </row>
    <row r="90" spans="1:16" x14ac:dyDescent="0.25">
      <c r="A90" t="s">
        <v>11</v>
      </c>
      <c r="B90" t="s">
        <v>150</v>
      </c>
      <c r="C90" t="s">
        <v>96</v>
      </c>
      <c r="D90" t="str">
        <f t="shared" si="19"/>
        <v>T&gt;-</v>
      </c>
      <c r="E90">
        <v>3</v>
      </c>
      <c r="F90" t="str">
        <f t="shared" si="15"/>
        <v>chr9:132910672_chr9:132910712-132910714:AT&gt;-</v>
      </c>
      <c r="G90" t="s">
        <v>182</v>
      </c>
      <c r="H90" t="s">
        <v>274</v>
      </c>
      <c r="I90" t="s">
        <v>326</v>
      </c>
      <c r="J90" t="s">
        <v>327</v>
      </c>
      <c r="K90" t="str">
        <f t="shared" si="13"/>
        <v>TGGGGCCTGAAGACCTGACTATTTATAGTAATAGTTATAGGCTGAAAAAAAATCGGCAGTTTTTCTAATAGTTGGGCTCAGTGTTCATATGTTCTGCCCTTGTCTCTAAGCAGGTGGAAAAGGAACTCCTGTGCTGCTGTGCTCCTTTTCCG</v>
      </c>
      <c r="L90" s="1" t="str">
        <f t="shared" si="16"/>
        <v>CTCCT</v>
      </c>
      <c r="M90" t="str">
        <f t="shared" si="14"/>
        <v>GCTGC</v>
      </c>
      <c r="N90" t="str">
        <f t="shared" si="17"/>
        <v>CTCCTGTGCTGC</v>
      </c>
      <c r="O90" s="2">
        <f t="shared" si="18"/>
        <v>152</v>
      </c>
      <c r="P90" t="str">
        <f t="shared" si="10"/>
        <v>CAGGTGGAAAAGGAACTCCTGTGCTGCTGTGCTCCTTTTCCG</v>
      </c>
    </row>
    <row r="91" spans="1:16" x14ac:dyDescent="0.25">
      <c r="A91" t="s">
        <v>11</v>
      </c>
      <c r="B91" t="s">
        <v>150</v>
      </c>
      <c r="C91" t="s">
        <v>97</v>
      </c>
      <c r="D91" t="str">
        <f t="shared" si="19"/>
        <v>A&gt;G</v>
      </c>
      <c r="E91">
        <v>3</v>
      </c>
      <c r="F91" t="str">
        <f t="shared" si="15"/>
        <v>chr9:132910672_chr9:132910724-132910725:A&gt;G</v>
      </c>
      <c r="G91" t="s">
        <v>177</v>
      </c>
      <c r="H91" t="s">
        <v>275</v>
      </c>
      <c r="I91" t="s">
        <v>326</v>
      </c>
      <c r="J91" t="s">
        <v>327</v>
      </c>
      <c r="K91" t="str">
        <f t="shared" si="13"/>
        <v>TGGGGCCTGAAGACCTGACTATTTATAGTAATAGTTATAGGCTGAAAAAAAATCGGCAGTTTTTCTAATAGTTGGGCTCGGTGTTCATATATGTTCTGCCCTTGTCTCTAAGCAGGTGGAAAAGGAACTCCTGAGCTGCTGTGCTCCTTTTCCG</v>
      </c>
      <c r="L91" s="1" t="str">
        <f t="shared" si="16"/>
        <v>CTCCT</v>
      </c>
      <c r="M91" t="str">
        <f t="shared" si="14"/>
        <v>GCTGC</v>
      </c>
      <c r="N91" t="str">
        <f t="shared" si="17"/>
        <v>CTCCTGAGCTGC</v>
      </c>
      <c r="O91" s="2">
        <f t="shared" si="18"/>
        <v>154</v>
      </c>
      <c r="P91" t="str">
        <f t="shared" si="10"/>
        <v>CAGGTGGAAAAGGAACTCCTGAGCTGCTGTGCTCCTTTTCCG</v>
      </c>
    </row>
    <row r="92" spans="1:16" x14ac:dyDescent="0.25">
      <c r="A92" t="s">
        <v>12</v>
      </c>
      <c r="D92" t="s">
        <v>167</v>
      </c>
      <c r="F92" t="str">
        <f t="shared" si="15"/>
        <v>chr9:132911093_</v>
      </c>
      <c r="G92" t="s">
        <v>184</v>
      </c>
      <c r="H92" t="s">
        <v>276</v>
      </c>
      <c r="I92" t="s">
        <v>326</v>
      </c>
      <c r="J92" t="s">
        <v>327</v>
      </c>
      <c r="K92" t="str">
        <f t="shared" si="13"/>
        <v>TGGGGCCTGAAGACCTGACTTAAATTTAAGCTGAACACTGGCCATGGATATAAACCTCGTGGATGACTTAGCATTCCTTTGCCACTGCTGATGTACTTTATTAACTTCCCAGGCTACTCTTTGGAGCCCATCTCGCTGCTGTGCTCCTTTTCCG</v>
      </c>
      <c r="L92" s="1" t="str">
        <f t="shared" si="16"/>
        <v>CCATC</v>
      </c>
      <c r="M92" t="str">
        <f t="shared" si="14"/>
        <v>GCTGC</v>
      </c>
      <c r="N92" t="str">
        <f t="shared" si="17"/>
        <v>CCATCTCGCTGC</v>
      </c>
      <c r="O92" s="2">
        <f t="shared" si="18"/>
        <v>154</v>
      </c>
      <c r="P92" t="str">
        <f t="shared" si="10"/>
        <v>GCTACTCTTTGGAGCCCATCTCGCTGCTGTGCTCCTTTTCCG</v>
      </c>
    </row>
    <row r="93" spans="1:16" x14ac:dyDescent="0.25">
      <c r="A93" t="s">
        <v>12</v>
      </c>
      <c r="B93" t="s">
        <v>151</v>
      </c>
      <c r="C93" t="s">
        <v>98</v>
      </c>
      <c r="D93" t="str">
        <f t="shared" si="19"/>
        <v>G&gt;A</v>
      </c>
      <c r="E93">
        <v>4</v>
      </c>
      <c r="F93" t="str">
        <f t="shared" si="15"/>
        <v>chr9:132911093_chr9:132911113-132911114:G&gt;A</v>
      </c>
      <c r="G93" t="s">
        <v>183</v>
      </c>
      <c r="H93" t="s">
        <v>277</v>
      </c>
      <c r="I93" t="s">
        <v>326</v>
      </c>
      <c r="J93" t="s">
        <v>327</v>
      </c>
      <c r="K93" t="str">
        <f t="shared" si="13"/>
        <v>TGGGGCCTGAAGACCTGACTTAAATTTAAGCTGAACACTGGCCATGGATATAAACCTCGTGGATGACTTAGCATTCCTTTGCCACTGCTGATGTACTTTATTAACTTCCCAAGCTACTCTTTGGAGCCCATCTAGCTGCTGTGCTCCTTTTCCG</v>
      </c>
      <c r="L93" s="1" t="str">
        <f t="shared" si="16"/>
        <v>CCATC</v>
      </c>
      <c r="M93" t="str">
        <f t="shared" si="14"/>
        <v>GCTGC</v>
      </c>
      <c r="N93" t="str">
        <f t="shared" si="17"/>
        <v>CCATCTAGCTGC</v>
      </c>
      <c r="O93" s="2">
        <f t="shared" si="18"/>
        <v>154</v>
      </c>
      <c r="P93" t="str">
        <f t="shared" si="10"/>
        <v>GCTACTCTTTGGAGCCCATCTAGCTGCTGTGCTCCTTTTCCG</v>
      </c>
    </row>
    <row r="94" spans="1:16" x14ac:dyDescent="0.25">
      <c r="A94" t="s">
        <v>12</v>
      </c>
      <c r="B94" t="s">
        <v>151</v>
      </c>
      <c r="C94" t="s">
        <v>99</v>
      </c>
      <c r="D94" t="str">
        <f t="shared" si="19"/>
        <v>C&gt;G</v>
      </c>
      <c r="E94">
        <v>4</v>
      </c>
      <c r="F94" t="str">
        <f t="shared" si="15"/>
        <v>chr9:132911093_chr9:132911115-132911116:C&gt;G</v>
      </c>
      <c r="G94" t="s">
        <v>172</v>
      </c>
      <c r="H94" t="s">
        <v>278</v>
      </c>
      <c r="I94" t="s">
        <v>326</v>
      </c>
      <c r="J94" t="s">
        <v>327</v>
      </c>
      <c r="K94" t="str">
        <f t="shared" si="13"/>
        <v>TGGGGCCTGAAGACCTGACTTAAATTTAAGCTGAACACTGGCCATGGATATAAACCTCGTGGATGACTTAGCATTCCTTTGCCACTGCTGATGTACTTTATTAACTTCCGAGGCTACTCTTTGGAGCCCATCAGGCTGCTGTGCTCCTTTTCCG</v>
      </c>
      <c r="L94" s="1" t="str">
        <f t="shared" si="16"/>
        <v>CCATC</v>
      </c>
      <c r="M94" t="str">
        <f t="shared" si="14"/>
        <v>GCTGC</v>
      </c>
      <c r="N94" t="str">
        <f t="shared" si="17"/>
        <v>CCATCAGGCTGC</v>
      </c>
      <c r="O94" s="2">
        <f t="shared" si="18"/>
        <v>154</v>
      </c>
      <c r="P94" t="str">
        <f t="shared" si="10"/>
        <v>GCTACTCTTTGGAGCCCATCAGGCTGCTGTGCTCCTTTTCCG</v>
      </c>
    </row>
    <row r="95" spans="1:16" x14ac:dyDescent="0.25">
      <c r="A95" t="s">
        <v>12</v>
      </c>
      <c r="B95" t="s">
        <v>151</v>
      </c>
      <c r="C95" t="s">
        <v>100</v>
      </c>
      <c r="D95" t="str">
        <f t="shared" si="19"/>
        <v>A&gt;G</v>
      </c>
      <c r="E95">
        <v>4</v>
      </c>
      <c r="F95" t="str">
        <f t="shared" si="15"/>
        <v>chr9:132911093_chr9:132911121-132911122:A&gt;G</v>
      </c>
      <c r="G95" t="s">
        <v>174</v>
      </c>
      <c r="H95" t="s">
        <v>279</v>
      </c>
      <c r="I95" t="s">
        <v>326</v>
      </c>
      <c r="J95" t="s">
        <v>327</v>
      </c>
      <c r="K95" t="str">
        <f t="shared" si="13"/>
        <v>TGGGGCCTGAAGACCTGACTTAAATTTAAGCTGAACACTGGCCATGGATATAAACCTCGTGGATGACTTAGCATTCCTTTGCCACTGCTGATGTACTTTATTAGCTTCCCAGGCTACTCTTTGGAGCCCATCCAGCTGCTGTGCTCCTTTTCCG</v>
      </c>
      <c r="L95" s="1" t="str">
        <f t="shared" si="16"/>
        <v>CCATC</v>
      </c>
      <c r="M95" t="str">
        <f t="shared" si="14"/>
        <v>GCTGC</v>
      </c>
      <c r="N95" t="str">
        <f t="shared" si="17"/>
        <v>CCATCCAGCTGC</v>
      </c>
      <c r="O95" s="2">
        <f t="shared" si="18"/>
        <v>154</v>
      </c>
      <c r="P95" t="str">
        <f t="shared" ref="P95:P119" si="20">RIGHT(K95,42)</f>
        <v>GCTACTCTTTGGAGCCCATCCAGCTGCTGTGCTCCTTTTCCG</v>
      </c>
    </row>
    <row r="96" spans="1:16" x14ac:dyDescent="0.25">
      <c r="A96" t="s">
        <v>12</v>
      </c>
      <c r="B96" t="s">
        <v>151</v>
      </c>
      <c r="C96" t="s">
        <v>101</v>
      </c>
      <c r="D96" t="str">
        <f t="shared" si="19"/>
        <v>T&gt;A</v>
      </c>
      <c r="E96">
        <v>4</v>
      </c>
      <c r="F96" t="str">
        <f t="shared" si="15"/>
        <v>chr9:132911093_chr9:132911126-132911127:T&gt;A</v>
      </c>
      <c r="G96" t="s">
        <v>173</v>
      </c>
      <c r="H96" t="s">
        <v>280</v>
      </c>
      <c r="I96" t="s">
        <v>326</v>
      </c>
      <c r="J96" t="s">
        <v>327</v>
      </c>
      <c r="K96" t="str">
        <f t="shared" si="13"/>
        <v>TGGGGCCTGAAGACCTGACTTAAATTTAAGCTGAACACTGGCCATGGATATAAACCTCGTGGATGACTTAGCATTCCTTTGCCACTGCTGATGTACTTAATTAACTTCCCAGGCTACTCTTTGGAGCCCATCATGCTGCTGTGCTCCTTTTCCG</v>
      </c>
      <c r="L96" s="1" t="str">
        <f t="shared" si="16"/>
        <v>CCATC</v>
      </c>
      <c r="M96" t="str">
        <f t="shared" si="14"/>
        <v>GCTGC</v>
      </c>
      <c r="N96" t="str">
        <f t="shared" si="17"/>
        <v>CCATCATGCTGC</v>
      </c>
      <c r="O96" s="2">
        <f t="shared" si="18"/>
        <v>154</v>
      </c>
      <c r="P96" t="str">
        <f t="shared" si="20"/>
        <v>GCTACTCTTTGGAGCCCATCATGCTGCTGTGCTCCTTTTCCG</v>
      </c>
    </row>
    <row r="97" spans="1:16" x14ac:dyDescent="0.25">
      <c r="A97" t="s">
        <v>13</v>
      </c>
      <c r="D97" t="s">
        <v>167</v>
      </c>
      <c r="F97" t="str">
        <f t="shared" si="15"/>
        <v>chr9:132911548_</v>
      </c>
      <c r="G97" t="s">
        <v>337</v>
      </c>
      <c r="H97" t="s">
        <v>281</v>
      </c>
      <c r="I97" t="s">
        <v>326</v>
      </c>
      <c r="J97" t="s">
        <v>327</v>
      </c>
      <c r="K97" t="str">
        <f t="shared" si="13"/>
        <v>TGGGGCCTGAAGACCTGACTCATCTTTTTTTTTTTTTTTTTTTTTTTTTTTTTTTAACCAGAATAACCTAAAACCACACACTAACCCCCTGTGTTCTTCTCTTCCATTTTAGGGTGTGCTACTTCTACCCCTTGGCTGCTGTGCTCCTTTTCCG</v>
      </c>
      <c r="L97" s="1" t="str">
        <f t="shared" si="16"/>
        <v>CCCCT</v>
      </c>
      <c r="M97" t="str">
        <f t="shared" si="14"/>
        <v>GCTGC</v>
      </c>
      <c r="N97" t="str">
        <f t="shared" si="17"/>
        <v>CCCCTTGGCTGC</v>
      </c>
      <c r="O97" s="2">
        <f t="shared" si="18"/>
        <v>154</v>
      </c>
      <c r="P97" t="str">
        <f t="shared" si="20"/>
        <v>GGTGTGCTACTTCTACCCCTTGGCTGCTGTGCTCCTTTTCCG</v>
      </c>
    </row>
    <row r="98" spans="1:16" x14ac:dyDescent="0.25">
      <c r="A98" t="s">
        <v>13</v>
      </c>
      <c r="B98" t="s">
        <v>152</v>
      </c>
      <c r="C98" t="s">
        <v>102</v>
      </c>
      <c r="D98" t="str">
        <f t="shared" si="19"/>
        <v>A&gt;G</v>
      </c>
      <c r="E98">
        <v>3</v>
      </c>
      <c r="F98" t="str">
        <f t="shared" si="15"/>
        <v>chr9:132911548_chr9:132911569-132911570:A&gt;G</v>
      </c>
      <c r="G98" t="s">
        <v>176</v>
      </c>
      <c r="H98" t="s">
        <v>282</v>
      </c>
      <c r="I98" t="s">
        <v>326</v>
      </c>
      <c r="J98" t="s">
        <v>327</v>
      </c>
      <c r="K98" t="str">
        <f t="shared" ref="K98:K129" si="21">(I98&amp;H98&amp;G98&amp;J98)</f>
        <v>TGGGGCCTGAAGACCTGACTCATCTTTTTTTTTTTTTTTTTTTTTTTTTTTTTTTAACCAGAATAACCTAAAACCACACACTAACCCCCTGTGTTCTTCTCTTCCATTTTGGGGTGTGCTACTTCTACCCCTCTGCTGCTGTGCTCCTTTTCCG</v>
      </c>
      <c r="L98" s="1" t="str">
        <f t="shared" si="16"/>
        <v>CCCCT</v>
      </c>
      <c r="M98" t="str">
        <f t="shared" ref="M98:M129" si="22">LEFT(J98,5)</f>
        <v>GCTGC</v>
      </c>
      <c r="N98" t="str">
        <f t="shared" si="17"/>
        <v>CCCCTCTGCTGC</v>
      </c>
      <c r="O98" s="2">
        <f t="shared" si="18"/>
        <v>154</v>
      </c>
      <c r="P98" t="str">
        <f t="shared" si="20"/>
        <v>GGTGTGCTACTTCTACCCCTCTGCTGCTGTGCTCCTTTTCCG</v>
      </c>
    </row>
    <row r="99" spans="1:16" x14ac:dyDescent="0.25">
      <c r="A99" t="s">
        <v>13</v>
      </c>
      <c r="B99" t="s">
        <v>152</v>
      </c>
      <c r="C99" t="s">
        <v>103</v>
      </c>
      <c r="D99" t="str">
        <f t="shared" si="19"/>
        <v>T&gt;C</v>
      </c>
      <c r="E99">
        <v>3</v>
      </c>
      <c r="F99" t="str">
        <f t="shared" si="15"/>
        <v>chr9:132911548_chr9:132911577-132911578:T&gt;C</v>
      </c>
      <c r="G99" t="s">
        <v>178</v>
      </c>
      <c r="H99" t="s">
        <v>283</v>
      </c>
      <c r="I99" t="s">
        <v>326</v>
      </c>
      <c r="J99" t="s">
        <v>327</v>
      </c>
      <c r="K99" t="str">
        <f t="shared" si="21"/>
        <v>TGGGGCCTGAAGACCTGACTCATCTTTTTTTTTTTTTTTTTTTTTTTTTTTTTTTAACCAGAATAACCTAAAACCACACACTAACCCCCTGTGTTCTTCTCTCCCATTTTAGGGTGTGCTACTTCTACCCCTGCGCTGCTGTGCTCCTTTTCCG</v>
      </c>
      <c r="L99" s="1" t="str">
        <f t="shared" si="16"/>
        <v>CCCCT</v>
      </c>
      <c r="M99" t="str">
        <f t="shared" si="22"/>
        <v>GCTGC</v>
      </c>
      <c r="N99" t="str">
        <f t="shared" si="17"/>
        <v>CCCCTGCGCTGC</v>
      </c>
      <c r="O99" s="2">
        <f t="shared" si="18"/>
        <v>154</v>
      </c>
      <c r="P99" t="str">
        <f t="shared" si="20"/>
        <v>GGTGTGCTACTTCTACCCCTGCGCTGCTGTGCTCCTTTTCCG</v>
      </c>
    </row>
    <row r="100" spans="1:16" x14ac:dyDescent="0.25">
      <c r="A100" t="s">
        <v>13</v>
      </c>
      <c r="B100" t="s">
        <v>152</v>
      </c>
      <c r="C100" t="s">
        <v>104</v>
      </c>
      <c r="D100" t="str">
        <f t="shared" si="19"/>
        <v>T&gt;C</v>
      </c>
      <c r="E100">
        <v>3</v>
      </c>
      <c r="F100" t="str">
        <f t="shared" si="15"/>
        <v>chr9:132911548_chr9:132911585-132911586:T&gt;C</v>
      </c>
      <c r="G100" t="s">
        <v>171</v>
      </c>
      <c r="H100" t="s">
        <v>284</v>
      </c>
      <c r="I100" t="s">
        <v>326</v>
      </c>
      <c r="J100" t="s">
        <v>327</v>
      </c>
      <c r="K100" t="str">
        <f t="shared" si="21"/>
        <v>TGGGGCCTGAAGACCTGACTCATCTTTTTTTTTTTTTTTTTTTTTTTTTTTTTTTAACCAGAATAACCTAAAACCACACACTAACCCCCTGTGTCCTTCTCTTCCATTTTAGGGTGTGCTACTTCTACCCCTACGCTGCTGTGCTCCTTTTCCG</v>
      </c>
      <c r="L100" s="1" t="str">
        <f t="shared" si="16"/>
        <v>CCCCT</v>
      </c>
      <c r="M100" t="str">
        <f t="shared" si="22"/>
        <v>GCTGC</v>
      </c>
      <c r="N100" t="str">
        <f t="shared" si="17"/>
        <v>CCCCTACGCTGC</v>
      </c>
      <c r="O100" s="2">
        <f t="shared" si="18"/>
        <v>154</v>
      </c>
      <c r="P100" t="str">
        <f t="shared" si="20"/>
        <v>GGTGTGCTACTTCTACCCCTACGCTGCTGTGCTCCTTTTCCG</v>
      </c>
    </row>
    <row r="101" spans="1:16" x14ac:dyDescent="0.25">
      <c r="A101" t="s">
        <v>14</v>
      </c>
      <c r="D101" t="s">
        <v>167</v>
      </c>
      <c r="F101" t="str">
        <f t="shared" si="15"/>
        <v>chr9:132912437_</v>
      </c>
      <c r="G101" t="s">
        <v>175</v>
      </c>
      <c r="H101" t="s">
        <v>285</v>
      </c>
      <c r="I101" t="s">
        <v>326</v>
      </c>
      <c r="J101" t="s">
        <v>327</v>
      </c>
      <c r="K101" t="str">
        <f t="shared" si="21"/>
        <v>TGGGGCCTGAAGACCTGACTAGAGTTCCGTGGCTGGCACTGAGTTGACACTCTGAAGTATTTAATTCAGTTGATTACAGTTTGCATTTCTTGACTTTCATTGCATTTTACAGGTGGAAGAGATTAGAAACTCCGGCTGCTGTGCTCCTTTTCCG</v>
      </c>
      <c r="L101" s="1" t="str">
        <f t="shared" si="16"/>
        <v>AACTC</v>
      </c>
      <c r="M101" t="str">
        <f t="shared" si="22"/>
        <v>GCTGC</v>
      </c>
      <c r="N101" t="str">
        <f t="shared" si="17"/>
        <v>AACTCCGGCTGC</v>
      </c>
      <c r="O101" s="2">
        <f t="shared" si="18"/>
        <v>154</v>
      </c>
      <c r="P101" t="str">
        <f t="shared" si="20"/>
        <v>GTGGAAGAGATTAGAAACTCCGGCTGCTGTGCTCCTTTTCCG</v>
      </c>
    </row>
    <row r="102" spans="1:16" x14ac:dyDescent="0.25">
      <c r="A102" t="s">
        <v>14</v>
      </c>
      <c r="B102" t="s">
        <v>153</v>
      </c>
      <c r="C102" t="s">
        <v>105</v>
      </c>
      <c r="D102" t="str">
        <f t="shared" si="19"/>
        <v>G&gt;A</v>
      </c>
      <c r="E102">
        <v>5</v>
      </c>
      <c r="F102" t="str">
        <f t="shared" si="15"/>
        <v>chr9:132912437_chr9:132912457-132912458:G&gt;A</v>
      </c>
      <c r="G102" t="s">
        <v>182</v>
      </c>
      <c r="H102" t="s">
        <v>286</v>
      </c>
      <c r="I102" t="s">
        <v>326</v>
      </c>
      <c r="J102" t="s">
        <v>327</v>
      </c>
      <c r="K102" t="str">
        <f t="shared" si="21"/>
        <v>TGGGGCCTGAAGACCTGACTAGAGTTCCGTGGCTGGCACTGAGTTGACACTCTGAAGTATTTAATTCAGTTGATTACAGTTTGCATTTCTTGACTTTCATTGCATTTTACAAGTGGAAGAGATTAGAAACTCGTGCTGCTGTGCTCCTTTTCCG</v>
      </c>
      <c r="L102" s="1" t="str">
        <f t="shared" si="16"/>
        <v>AACTC</v>
      </c>
      <c r="M102" t="str">
        <f t="shared" si="22"/>
        <v>GCTGC</v>
      </c>
      <c r="N102" t="str">
        <f t="shared" si="17"/>
        <v>AACTCGTGCTGC</v>
      </c>
      <c r="O102" s="2">
        <f t="shared" si="18"/>
        <v>154</v>
      </c>
      <c r="P102" t="str">
        <f t="shared" si="20"/>
        <v>GTGGAAGAGATTAGAAACTCGTGCTGCTGTGCTCCTTTTCCG</v>
      </c>
    </row>
    <row r="103" spans="1:16" x14ac:dyDescent="0.25">
      <c r="A103" t="s">
        <v>14</v>
      </c>
      <c r="B103" t="s">
        <v>153</v>
      </c>
      <c r="C103" t="s">
        <v>106</v>
      </c>
      <c r="D103" t="str">
        <f t="shared" si="19"/>
        <v>A&gt;T</v>
      </c>
      <c r="E103">
        <v>5</v>
      </c>
      <c r="F103" t="str">
        <f t="shared" si="15"/>
        <v>chr9:132912437_chr9:132912458-132912459:A&gt;T</v>
      </c>
      <c r="G103" t="s">
        <v>177</v>
      </c>
      <c r="H103" t="s">
        <v>287</v>
      </c>
      <c r="I103" t="s">
        <v>326</v>
      </c>
      <c r="J103" t="s">
        <v>327</v>
      </c>
      <c r="K103" t="str">
        <f t="shared" si="21"/>
        <v>TGGGGCCTGAAGACCTGACTAGAGTTCCGTGGCTGGCACTGAGTTGACACTCTGAAGTATTTAATTCAGTTGATTACAGTTTGCATTTCTTGACTTTCATTGCATTTTACTGGTGGAAGAGATTAGAAACTCGAGCTGCTGTGCTCCTTTTCCG</v>
      </c>
      <c r="L103" s="1" t="str">
        <f t="shared" si="16"/>
        <v>AACTC</v>
      </c>
      <c r="M103" t="str">
        <f t="shared" si="22"/>
        <v>GCTGC</v>
      </c>
      <c r="N103" t="str">
        <f t="shared" si="17"/>
        <v>AACTCGAGCTGC</v>
      </c>
      <c r="O103" s="2">
        <f t="shared" si="18"/>
        <v>154</v>
      </c>
      <c r="P103" t="str">
        <f t="shared" si="20"/>
        <v>GTGGAAGAGATTAGAAACTCGAGCTGCTGTGCTCCTTTTCCG</v>
      </c>
    </row>
    <row r="104" spans="1:16" x14ac:dyDescent="0.25">
      <c r="A104" t="s">
        <v>14</v>
      </c>
      <c r="B104" t="s">
        <v>153</v>
      </c>
      <c r="C104" t="s">
        <v>107</v>
      </c>
      <c r="D104" t="str">
        <f t="shared" si="19"/>
        <v>A&gt;G</v>
      </c>
      <c r="E104">
        <v>5</v>
      </c>
      <c r="F104" t="str">
        <f t="shared" si="15"/>
        <v>chr9:132912437_chr9:132912458-132912459:A&gt;G</v>
      </c>
      <c r="G104" t="s">
        <v>184</v>
      </c>
      <c r="H104" t="s">
        <v>288</v>
      </c>
      <c r="I104" t="s">
        <v>326</v>
      </c>
      <c r="J104" t="s">
        <v>327</v>
      </c>
      <c r="K104" t="str">
        <f t="shared" si="21"/>
        <v>TGGGGCCTGAAGACCTGACTAGAGTTCCGTGGCTGGCACTGAGTTGACACTCTGAAGTATTTAATTCAGTTGATTACAGTTTGCATTTCTTGACTTTCATTGCATTTTACGGGTGGAAGAGATTAGAAACTCTCGCTGCTGTGCTCCTTTTCCG</v>
      </c>
      <c r="L104" s="1" t="str">
        <f t="shared" si="16"/>
        <v>AACTC</v>
      </c>
      <c r="M104" t="str">
        <f t="shared" si="22"/>
        <v>GCTGC</v>
      </c>
      <c r="N104" t="str">
        <f t="shared" si="17"/>
        <v>AACTCTCGCTGC</v>
      </c>
      <c r="O104" s="2">
        <f t="shared" si="18"/>
        <v>154</v>
      </c>
      <c r="P104" t="str">
        <f t="shared" si="20"/>
        <v>GTGGAAGAGATTAGAAACTCTCGCTGCTGTGCTCCTTTTCCG</v>
      </c>
    </row>
    <row r="105" spans="1:16" x14ac:dyDescent="0.25">
      <c r="A105" t="s">
        <v>14</v>
      </c>
      <c r="B105" t="s">
        <v>153</v>
      </c>
      <c r="C105" t="s">
        <v>108</v>
      </c>
      <c r="D105" t="str">
        <f t="shared" si="19"/>
        <v>C&gt;A</v>
      </c>
      <c r="E105">
        <v>5</v>
      </c>
      <c r="F105" t="str">
        <f t="shared" si="15"/>
        <v>chr9:132912437_chr9:132912466-132912467:C&gt;A</v>
      </c>
      <c r="G105" t="s">
        <v>183</v>
      </c>
      <c r="H105" t="s">
        <v>289</v>
      </c>
      <c r="I105" t="s">
        <v>326</v>
      </c>
      <c r="J105" t="s">
        <v>327</v>
      </c>
      <c r="K105" t="str">
        <f t="shared" si="21"/>
        <v>TGGGGCCTGAAGACCTGACTAGAGTTCCGTGGCTGGCACTGAGTTGACACTCTGAAGTATTTAATTCAGTTGATTACAGTTTGCATTTCTTGACTTTCATTGAATTTTACAGGTGGAAGAGATTAGAAACTCTAGCTGCTGTGCTCCTTTTCCG</v>
      </c>
      <c r="L105" s="1" t="str">
        <f t="shared" si="16"/>
        <v>AACTC</v>
      </c>
      <c r="M105" t="str">
        <f t="shared" si="22"/>
        <v>GCTGC</v>
      </c>
      <c r="N105" t="str">
        <f t="shared" si="17"/>
        <v>AACTCTAGCTGC</v>
      </c>
      <c r="O105" s="2">
        <f t="shared" si="18"/>
        <v>154</v>
      </c>
      <c r="P105" t="str">
        <f t="shared" si="20"/>
        <v>GTGGAAGAGATTAGAAACTCTAGCTGCTGTGCTCCTTTTCCG</v>
      </c>
    </row>
    <row r="106" spans="1:16" x14ac:dyDescent="0.25">
      <c r="A106" t="s">
        <v>14</v>
      </c>
      <c r="B106" t="s">
        <v>153</v>
      </c>
      <c r="C106" t="s">
        <v>109</v>
      </c>
      <c r="D106" t="str">
        <f t="shared" si="19"/>
        <v>A&gt;G</v>
      </c>
      <c r="E106">
        <v>5</v>
      </c>
      <c r="F106" t="str">
        <f t="shared" si="15"/>
        <v>chr9:132912437_chr9:132912476-132912477:A&gt;G</v>
      </c>
      <c r="G106" t="s">
        <v>172</v>
      </c>
      <c r="H106" t="s">
        <v>290</v>
      </c>
      <c r="I106" t="s">
        <v>326</v>
      </c>
      <c r="J106" t="s">
        <v>327</v>
      </c>
      <c r="K106" t="str">
        <f t="shared" si="21"/>
        <v>TGGGGCCTGAAGACCTGACTAGAGTTCCGTGGCTGGCACTGAGTTGACACTCTGAAGTATTTAATTCAGTTGATTACAGTTTGCATTTCTTGGCTTTCATTGCATTTTACAGGTGGAAGAGATTAGAAACTCAGGCTGCTGTGCTCCTTTTCCG</v>
      </c>
      <c r="L106" s="1" t="str">
        <f t="shared" si="16"/>
        <v>AACTC</v>
      </c>
      <c r="M106" t="str">
        <f t="shared" si="22"/>
        <v>GCTGC</v>
      </c>
      <c r="N106" t="str">
        <f t="shared" si="17"/>
        <v>AACTCAGGCTGC</v>
      </c>
      <c r="O106" s="2">
        <f t="shared" si="18"/>
        <v>154</v>
      </c>
      <c r="P106" t="str">
        <f t="shared" si="20"/>
        <v>GTGGAAGAGATTAGAAACTCAGGCTGCTGTGCTCCTTTTCCG</v>
      </c>
    </row>
    <row r="107" spans="1:16" x14ac:dyDescent="0.25">
      <c r="A107" t="s">
        <v>15</v>
      </c>
      <c r="D107" t="s">
        <v>167</v>
      </c>
      <c r="F107" t="str">
        <f t="shared" si="15"/>
        <v>chr9:132921416_</v>
      </c>
      <c r="G107" t="s">
        <v>174</v>
      </c>
      <c r="H107" t="s">
        <v>291</v>
      </c>
      <c r="I107" t="s">
        <v>326</v>
      </c>
      <c r="J107" t="s">
        <v>327</v>
      </c>
      <c r="K107" t="str">
        <f t="shared" si="21"/>
        <v>TGGGGCCTGAAGACCTGACTCTTCATTCCTTTTAATTGTCAACTAATATTCCATCATTTGGATGTTCCACAAACATTCAGCCCTTTATAATTTGTCAACCCAACTCTTCTAGCCAATGATGGAGCATGTGCGCAGCTGCTGTGCTCCTTTTCCG</v>
      </c>
      <c r="L107" s="1" t="str">
        <f t="shared" si="16"/>
        <v>GTGCG</v>
      </c>
      <c r="M107" t="str">
        <f t="shared" si="22"/>
        <v>GCTGC</v>
      </c>
      <c r="N107" t="str">
        <f t="shared" si="17"/>
        <v>GTGCGCAGCTGC</v>
      </c>
      <c r="O107" s="2">
        <f t="shared" si="18"/>
        <v>154</v>
      </c>
      <c r="P107" t="str">
        <f t="shared" si="20"/>
        <v>CCAATGATGGAGCATGTGCGCAGCTGCTGTGCTCCTTTTCCG</v>
      </c>
    </row>
    <row r="108" spans="1:16" x14ac:dyDescent="0.25">
      <c r="A108" t="s">
        <v>15</v>
      </c>
      <c r="B108" t="s">
        <v>154</v>
      </c>
      <c r="C108" t="s">
        <v>110</v>
      </c>
      <c r="D108" t="str">
        <f t="shared" si="19"/>
        <v>G&gt;C</v>
      </c>
      <c r="E108">
        <v>7</v>
      </c>
      <c r="F108" t="str">
        <f t="shared" si="15"/>
        <v>chr9:132921416_chr9:132921436-132921437:G&gt;C</v>
      </c>
      <c r="G108" t="s">
        <v>173</v>
      </c>
      <c r="H108" t="s">
        <v>292</v>
      </c>
      <c r="I108" t="s">
        <v>326</v>
      </c>
      <c r="J108" t="s">
        <v>327</v>
      </c>
      <c r="K108" t="str">
        <f t="shared" si="21"/>
        <v>TGGGGCCTGAAGACCTGACTCTTCATTCCTTTTAATTGTCAACTAATATTCCATCATTTGGATGTTCCACAAACATTCAGCCCTTTATAATTTGTCAACCCAACTCTTCTACCCAATGATGGAGCATGTGCGATGCTGCTGTGCTCCTTTTCCG</v>
      </c>
      <c r="L108" s="1" t="str">
        <f t="shared" si="16"/>
        <v>GTGCG</v>
      </c>
      <c r="M108" t="str">
        <f t="shared" si="22"/>
        <v>GCTGC</v>
      </c>
      <c r="N108" t="str">
        <f t="shared" si="17"/>
        <v>GTGCGATGCTGC</v>
      </c>
      <c r="O108" s="2">
        <f t="shared" si="18"/>
        <v>154</v>
      </c>
      <c r="P108" t="str">
        <f t="shared" si="20"/>
        <v>CCAATGATGGAGCATGTGCGATGCTGCTGTGCTCCTTTTCCG</v>
      </c>
    </row>
    <row r="109" spans="1:16" x14ac:dyDescent="0.25">
      <c r="A109" t="s">
        <v>15</v>
      </c>
      <c r="B109" t="s">
        <v>154</v>
      </c>
      <c r="C109" t="s">
        <v>111</v>
      </c>
      <c r="D109" t="str">
        <f t="shared" si="19"/>
        <v>G&gt;A</v>
      </c>
      <c r="E109">
        <v>7</v>
      </c>
      <c r="F109" t="str">
        <f t="shared" si="15"/>
        <v>chr9:132921416_chr9:132921436-132921437:G&gt;A</v>
      </c>
      <c r="G109" t="s">
        <v>349</v>
      </c>
      <c r="H109" t="s">
        <v>293</v>
      </c>
      <c r="I109" t="s">
        <v>326</v>
      </c>
      <c r="J109" t="s">
        <v>327</v>
      </c>
      <c r="K109" t="str">
        <f t="shared" si="21"/>
        <v>TGGGGCCTGAAGACCTGACTCTTCATTCCTTTTAATTGTCAACTAATATTCCATCATTTGGATGTTCCACAAACATTCAGCCCTTTATAATTTGTCAACCCAACTCTTCTAACCAATGATGGAGCATGTGCGTGGCTGCTGTGCTCCTTTTCCG</v>
      </c>
      <c r="L109" s="1" t="str">
        <f t="shared" si="16"/>
        <v>GTGCG</v>
      </c>
      <c r="M109" t="str">
        <f t="shared" si="22"/>
        <v>GCTGC</v>
      </c>
      <c r="N109" t="str">
        <f t="shared" si="17"/>
        <v>GTGCGTGGCTGC</v>
      </c>
      <c r="O109" s="2">
        <f t="shared" si="18"/>
        <v>154</v>
      </c>
      <c r="P109" t="str">
        <f t="shared" si="20"/>
        <v>CCAATGATGGAGCATGTGCGTGGCTGCTGTGCTCCTTTTCCG</v>
      </c>
    </row>
    <row r="110" spans="1:16" x14ac:dyDescent="0.25">
      <c r="A110" t="s">
        <v>15</v>
      </c>
      <c r="B110" t="s">
        <v>154</v>
      </c>
      <c r="C110" t="s">
        <v>163</v>
      </c>
      <c r="D110" t="s">
        <v>164</v>
      </c>
      <c r="E110">
        <v>7</v>
      </c>
      <c r="F110" t="str">
        <f t="shared" si="15"/>
        <v>chr9:132921416_chr9:132921439-132921441:TC&gt;G</v>
      </c>
      <c r="G110" t="s">
        <v>176</v>
      </c>
      <c r="H110" t="s">
        <v>294</v>
      </c>
      <c r="I110" t="s">
        <v>326</v>
      </c>
      <c r="J110" t="s">
        <v>327</v>
      </c>
      <c r="K110" t="str">
        <f t="shared" si="21"/>
        <v>TGGGGCCTGAAGACCTGACTCTTCATTCCTTTTAATTGTCAACTAATATTCCATCATTTGGATGTTCCACAAACATTCAGCCCTTTATAATTTGTCAACCCAACTCTGTAGCCAATGATGGAGCATGTGCGCTGCTGCTGTGCTCCTTTTCCG</v>
      </c>
      <c r="L110" s="1" t="str">
        <f t="shared" si="16"/>
        <v>GTGCG</v>
      </c>
      <c r="M110" t="str">
        <f t="shared" si="22"/>
        <v>GCTGC</v>
      </c>
      <c r="N110" t="str">
        <f t="shared" si="17"/>
        <v>GTGCGCTGCTGC</v>
      </c>
      <c r="O110" s="2">
        <f t="shared" si="18"/>
        <v>153</v>
      </c>
      <c r="P110" t="str">
        <f t="shared" si="20"/>
        <v>CCAATGATGGAGCATGTGCGCTGCTGCTGTGCTCCTTTTCCG</v>
      </c>
    </row>
    <row r="111" spans="1:16" x14ac:dyDescent="0.25">
      <c r="A111" t="s">
        <v>15</v>
      </c>
      <c r="B111" t="s">
        <v>154</v>
      </c>
      <c r="C111" t="s">
        <v>112</v>
      </c>
      <c r="D111" t="str">
        <f t="shared" si="19"/>
        <v>C&gt;G</v>
      </c>
      <c r="E111">
        <v>7</v>
      </c>
      <c r="F111" t="str">
        <f t="shared" si="15"/>
        <v>chr9:132921416_chr9:132921444-132921445:C&gt;G</v>
      </c>
      <c r="G111" t="s">
        <v>178</v>
      </c>
      <c r="H111" t="s">
        <v>295</v>
      </c>
      <c r="I111" t="s">
        <v>326</v>
      </c>
      <c r="J111" t="s">
        <v>327</v>
      </c>
      <c r="K111" t="str">
        <f t="shared" si="21"/>
        <v>TGGGGCCTGAAGACCTGACTCTTCATTCCTTTTAATTGTCAACTAATATTCCATCATTTGGATGTTCCACAAACATTCAGCCCTTTATAATTTGTCAACCCAAGTCTTCTAGCCAATGATGGAGCATGTGCGGCGCTGCTGTGCTCCTTTTCCG</v>
      </c>
      <c r="L111" s="1" t="str">
        <f t="shared" si="16"/>
        <v>GTGCG</v>
      </c>
      <c r="M111" t="str">
        <f t="shared" si="22"/>
        <v>GCTGC</v>
      </c>
      <c r="N111" t="str">
        <f t="shared" si="17"/>
        <v>GTGCGGCGCTGC</v>
      </c>
      <c r="O111" s="2">
        <f t="shared" si="18"/>
        <v>154</v>
      </c>
      <c r="P111" t="str">
        <f t="shared" si="20"/>
        <v>CCAATGATGGAGCATGTGCGGCGCTGCTGTGCTCCTTTTCCG</v>
      </c>
    </row>
    <row r="112" spans="1:16" x14ac:dyDescent="0.25">
      <c r="A112" t="s">
        <v>15</v>
      </c>
      <c r="B112" t="s">
        <v>154</v>
      </c>
      <c r="C112" t="s">
        <v>113</v>
      </c>
      <c r="D112" t="str">
        <f t="shared" si="19"/>
        <v>A&gt;C</v>
      </c>
      <c r="E112">
        <v>7</v>
      </c>
      <c r="F112" t="str">
        <f t="shared" si="15"/>
        <v>chr9:132921416_chr9:132921445-132921446:A&gt;C</v>
      </c>
      <c r="G112" t="s">
        <v>171</v>
      </c>
      <c r="H112" t="s">
        <v>296</v>
      </c>
      <c r="I112" t="s">
        <v>326</v>
      </c>
      <c r="J112" t="s">
        <v>327</v>
      </c>
      <c r="K112" t="str">
        <f t="shared" si="21"/>
        <v>TGGGGCCTGAAGACCTGACTCTTCATTCCTTTTAATTGTCAACTAATATTCCATCATTTGGATGTTCCACAAACATTCAGCCCTTTATAATTTGTCAACCCACCTCTTCTAGCCAATGATGGAGCATGTGCGACGCTGCTGTGCTCCTTTTCCG</v>
      </c>
      <c r="L112" s="1" t="str">
        <f t="shared" si="16"/>
        <v>GTGCG</v>
      </c>
      <c r="M112" t="str">
        <f t="shared" si="22"/>
        <v>GCTGC</v>
      </c>
      <c r="N112" t="str">
        <f t="shared" si="17"/>
        <v>GTGCGACGCTGC</v>
      </c>
      <c r="O112" s="2">
        <f t="shared" si="18"/>
        <v>154</v>
      </c>
      <c r="P112" t="str">
        <f t="shared" si="20"/>
        <v>CCAATGATGGAGCATGTGCGACGCTGCTGTGCTCCTTTTCCG</v>
      </c>
    </row>
    <row r="113" spans="1:16" x14ac:dyDescent="0.25">
      <c r="A113" t="s">
        <v>15</v>
      </c>
      <c r="B113" t="s">
        <v>154</v>
      </c>
      <c r="C113" t="s">
        <v>114</v>
      </c>
      <c r="D113" t="str">
        <f t="shared" si="19"/>
        <v>A&gt;G</v>
      </c>
      <c r="E113">
        <v>7</v>
      </c>
      <c r="F113" t="str">
        <f t="shared" si="15"/>
        <v>chr9:132921416_chr9:132921450-132921451:A&gt;G</v>
      </c>
      <c r="G113" t="s">
        <v>175</v>
      </c>
      <c r="H113" t="s">
        <v>297</v>
      </c>
      <c r="I113" t="s">
        <v>326</v>
      </c>
      <c r="J113" t="s">
        <v>327</v>
      </c>
      <c r="K113" t="str">
        <f t="shared" si="21"/>
        <v>TGGGGCCTGAAGACCTGACTCTTCATTCCTTTTAATTGTCAACTAATATTCCATCATTTGGATGTTCCACAAACATTCAGCCCTTTATAATTTGTCAGCCCAACTCTTCTAGCCAATGATGGAGCATGTGCGCGGCTGCTGTGCTCCTTTTCCG</v>
      </c>
      <c r="L113" s="1" t="str">
        <f t="shared" si="16"/>
        <v>GTGCG</v>
      </c>
      <c r="M113" t="str">
        <f t="shared" si="22"/>
        <v>GCTGC</v>
      </c>
      <c r="N113" t="str">
        <f t="shared" si="17"/>
        <v>GTGCGCGGCTGC</v>
      </c>
      <c r="O113" s="2">
        <f t="shared" si="18"/>
        <v>154</v>
      </c>
      <c r="P113" t="str">
        <f t="shared" si="20"/>
        <v>CCAATGATGGAGCATGTGCGCGGCTGCTGTGCTCCTTTTCCG</v>
      </c>
    </row>
    <row r="114" spans="1:16" x14ac:dyDescent="0.25">
      <c r="A114" t="s">
        <v>15</v>
      </c>
      <c r="B114" t="s">
        <v>154</v>
      </c>
      <c r="C114" t="s">
        <v>115</v>
      </c>
      <c r="D114" t="str">
        <f t="shared" si="19"/>
        <v>A&gt;-</v>
      </c>
      <c r="E114">
        <v>7</v>
      </c>
      <c r="F114" t="str">
        <f t="shared" si="15"/>
        <v>chr9:132921416_chr9:132921461-132921462:A&gt;-</v>
      </c>
      <c r="G114" t="s">
        <v>182</v>
      </c>
      <c r="H114" t="s">
        <v>298</v>
      </c>
      <c r="I114" t="s">
        <v>326</v>
      </c>
      <c r="J114" t="s">
        <v>327</v>
      </c>
      <c r="K114" t="str">
        <f t="shared" si="21"/>
        <v>TGGGGCCTGAAGACCTGACTCTTCATTCCTTTTAATTGTCAACTAATATTCCATCATTTGGATGTTCCACAAACATTCAGCCCTTTTAATTTGTCAACCCAACTCTTCTAGCCAATGATGGAGCATGTGCGGTGCTGCTGTGCTCCTTTTCCG</v>
      </c>
      <c r="L114" s="1" t="str">
        <f t="shared" si="16"/>
        <v>GTGCG</v>
      </c>
      <c r="M114" t="str">
        <f t="shared" si="22"/>
        <v>GCTGC</v>
      </c>
      <c r="N114" t="str">
        <f t="shared" si="17"/>
        <v>GTGCGGTGCTGC</v>
      </c>
      <c r="O114" s="2">
        <f t="shared" si="18"/>
        <v>153</v>
      </c>
      <c r="P114" t="str">
        <f t="shared" si="20"/>
        <v>CCAATGATGGAGCATGTGCGGTGCTGCTGTGCTCCTTTTCCG</v>
      </c>
    </row>
    <row r="115" spans="1:16" x14ac:dyDescent="0.25">
      <c r="A115" t="s">
        <v>16</v>
      </c>
      <c r="D115" t="s">
        <v>167</v>
      </c>
      <c r="F115" t="str">
        <f t="shared" si="15"/>
        <v>chr9:132921953_</v>
      </c>
      <c r="G115" t="s">
        <v>177</v>
      </c>
      <c r="H115" t="s">
        <v>299</v>
      </c>
      <c r="I115" t="s">
        <v>326</v>
      </c>
      <c r="J115" t="s">
        <v>327</v>
      </c>
      <c r="K115" t="str">
        <f t="shared" si="21"/>
        <v>TGGGGCCTGAAGACCTGACTAAGTCCTGCTGGCAGCCACTTGTTTATAGCTGTTTTGCACTCCTCAATCTGTCTCCAACTAAGAGGCTCTTCTCAACGGGTTCCTTTTCTAGGCCACGTGGCGGAAGTCTATGAGCTGCTGTGCTCCTTTTCCG</v>
      </c>
      <c r="L115" s="1" t="str">
        <f t="shared" si="16"/>
        <v>TCTAT</v>
      </c>
      <c r="M115" t="str">
        <f t="shared" si="22"/>
        <v>GCTGC</v>
      </c>
      <c r="N115" t="str">
        <f t="shared" si="17"/>
        <v>TCTATGAGCTGC</v>
      </c>
      <c r="O115" s="2">
        <f t="shared" si="18"/>
        <v>154</v>
      </c>
      <c r="P115" t="str">
        <f t="shared" si="20"/>
        <v>GCCACGTGGCGGAAGTCTATGAGCTGCTGTGCTCCTTTTCCG</v>
      </c>
    </row>
    <row r="116" spans="1:16" x14ac:dyDescent="0.25">
      <c r="A116" t="s">
        <v>16</v>
      </c>
      <c r="B116" t="s">
        <v>155</v>
      </c>
      <c r="C116" t="s">
        <v>116</v>
      </c>
      <c r="D116" t="str">
        <f t="shared" si="19"/>
        <v>G&gt;A</v>
      </c>
      <c r="E116">
        <v>4</v>
      </c>
      <c r="F116" t="str">
        <f t="shared" si="15"/>
        <v>chr9:132921953_chr9:132921973-132921974:G&gt;A</v>
      </c>
      <c r="G116" t="s">
        <v>184</v>
      </c>
      <c r="H116" t="s">
        <v>300</v>
      </c>
      <c r="I116" t="s">
        <v>326</v>
      </c>
      <c r="J116" t="s">
        <v>327</v>
      </c>
      <c r="K116" t="str">
        <f t="shared" si="21"/>
        <v>TGGGGCCTGAAGACCTGACTAAGTCCTGCTGGCAGCCACTTGTTTATAGCTGTTTTGCACTCCTCAATCTGTCTCCAACTAAGAGGCTCTTCTCAACGGGTTCCTTTTCTAAGCCACGTGGCGGAAGTCTATTCGCTGCTGTGCTCCTTTTCCG</v>
      </c>
      <c r="L116" s="1" t="str">
        <f t="shared" si="16"/>
        <v>TCTAT</v>
      </c>
      <c r="M116" t="str">
        <f t="shared" si="22"/>
        <v>GCTGC</v>
      </c>
      <c r="N116" t="str">
        <f t="shared" si="17"/>
        <v>TCTATTCGCTGC</v>
      </c>
      <c r="O116" s="2">
        <f t="shared" si="18"/>
        <v>154</v>
      </c>
      <c r="P116" t="str">
        <f t="shared" si="20"/>
        <v>GCCACGTGGCGGAAGTCTATTCGCTGCTGTGCTCCTTTTCCG</v>
      </c>
    </row>
    <row r="117" spans="1:16" x14ac:dyDescent="0.25">
      <c r="A117" t="s">
        <v>16</v>
      </c>
      <c r="B117" t="s">
        <v>155</v>
      </c>
      <c r="C117" t="s">
        <v>117</v>
      </c>
      <c r="D117" t="str">
        <f t="shared" si="19"/>
        <v>G&gt;C</v>
      </c>
      <c r="E117">
        <v>4</v>
      </c>
      <c r="F117" t="str">
        <f t="shared" si="15"/>
        <v>chr9:132921953_chr9:132921973-132921974:G&gt;C</v>
      </c>
      <c r="G117" t="s">
        <v>171</v>
      </c>
      <c r="H117" t="s">
        <v>301</v>
      </c>
      <c r="I117" t="s">
        <v>326</v>
      </c>
      <c r="J117" t="s">
        <v>327</v>
      </c>
      <c r="K117" t="str">
        <f t="shared" si="21"/>
        <v>TGGGGCCTGAAGACCTGACTAAGTCCTGCTGGCAGCCACTTGTTTATAGCTGTTTTGCACTCCTCAATCTGTCTCCAACTAAGAGGCTCTTCTCAACGGGTTCCTTTTCTACGCCACGTGGCGGAAGTCTATACGCTGCTGTGCTCCTTTTCCG</v>
      </c>
      <c r="L117" s="1" t="str">
        <f t="shared" si="16"/>
        <v>TCTAT</v>
      </c>
      <c r="M117" t="str">
        <f t="shared" si="22"/>
        <v>GCTGC</v>
      </c>
      <c r="N117" t="str">
        <f t="shared" si="17"/>
        <v>TCTATACGCTGC</v>
      </c>
      <c r="O117" s="2">
        <f t="shared" si="18"/>
        <v>154</v>
      </c>
      <c r="P117" t="str">
        <f t="shared" si="20"/>
        <v>GCCACGTGGCGGAAGTCTATACGCTGCTGTGCTCCTTTTCCG</v>
      </c>
    </row>
    <row r="118" spans="1:16" x14ac:dyDescent="0.25">
      <c r="A118" t="s">
        <v>16</v>
      </c>
      <c r="B118" t="s">
        <v>155</v>
      </c>
      <c r="C118" t="s">
        <v>118</v>
      </c>
      <c r="D118" t="str">
        <f t="shared" si="19"/>
        <v>C&gt;T</v>
      </c>
      <c r="E118">
        <v>4</v>
      </c>
      <c r="F118" t="str">
        <f t="shared" si="15"/>
        <v>chr9:132921953_chr9:132921982-132921983:C&gt;T</v>
      </c>
      <c r="G118" t="s">
        <v>175</v>
      </c>
      <c r="H118" t="s">
        <v>302</v>
      </c>
      <c r="I118" t="s">
        <v>326</v>
      </c>
      <c r="J118" t="s">
        <v>327</v>
      </c>
      <c r="K118" t="str">
        <f t="shared" si="21"/>
        <v>TGGGGCCTGAAGACCTGACTAAGTCCTGCTGGCAGCCACTTGTTTATAGCTGTTTTGCACTCCTCAATCTGTCTCCAACTAAGAGGCTCTTCTCAACGGGTTTCTTTTCTAGGCCACGTGGCGGAAGTCTATCGGCTGCTGTGCTCCTTTTCCG</v>
      </c>
      <c r="L118" s="1" t="str">
        <f t="shared" si="16"/>
        <v>TCTAT</v>
      </c>
      <c r="M118" t="str">
        <f t="shared" si="22"/>
        <v>GCTGC</v>
      </c>
      <c r="N118" t="str">
        <f t="shared" si="17"/>
        <v>TCTATCGGCTGC</v>
      </c>
      <c r="O118" s="2">
        <f t="shared" si="18"/>
        <v>154</v>
      </c>
      <c r="P118" t="str">
        <f t="shared" si="20"/>
        <v>GCCACGTGGCGGAAGTCTATCGGCTGCTGTGCTCCTTTTCCG</v>
      </c>
    </row>
    <row r="119" spans="1:16" x14ac:dyDescent="0.25">
      <c r="A119" t="s">
        <v>16</v>
      </c>
      <c r="B119" t="s">
        <v>155</v>
      </c>
      <c r="C119" t="s">
        <v>119</v>
      </c>
      <c r="D119" t="str">
        <f t="shared" si="19"/>
        <v>G&gt;A</v>
      </c>
      <c r="E119">
        <v>4</v>
      </c>
      <c r="F119" t="str">
        <f t="shared" si="15"/>
        <v>chr9:132921953_chr9:132921987-132921988:G&gt;A</v>
      </c>
      <c r="G119" t="s">
        <v>182</v>
      </c>
      <c r="H119" t="s">
        <v>303</v>
      </c>
      <c r="I119" t="s">
        <v>326</v>
      </c>
      <c r="J119" t="s">
        <v>327</v>
      </c>
      <c r="K119" t="str">
        <f t="shared" si="21"/>
        <v>TGGGGCCTGAAGACCTGACTAAGTCCTGCTGGCAGCCACTTGTTTATAGCTGTTTTGCACTCCTCAATCTGTCTCCAACTAAGAGGCTCTTCTCAACAGGTTCCTTTTCTAGGCCACGTGGCGGAAGTCTATGTGCTGCTGTGCTCCTTTTCCG</v>
      </c>
      <c r="L119" s="1" t="str">
        <f t="shared" si="16"/>
        <v>TCTAT</v>
      </c>
      <c r="M119" t="str">
        <f t="shared" si="22"/>
        <v>GCTGC</v>
      </c>
      <c r="N119" t="str">
        <f t="shared" si="17"/>
        <v>TCTATGTGCTGC</v>
      </c>
      <c r="O119" s="2">
        <f t="shared" si="18"/>
        <v>154</v>
      </c>
      <c r="P119" t="str">
        <f t="shared" si="20"/>
        <v>GCCACGTGGCGGAAGTCTATGTGCTGCTGTGCTCCTTTTCCG</v>
      </c>
    </row>
    <row r="120" spans="1:16" x14ac:dyDescent="0.25">
      <c r="A120" t="s">
        <v>17</v>
      </c>
      <c r="D120" t="s">
        <v>167</v>
      </c>
      <c r="F120" t="str">
        <f t="shared" si="15"/>
        <v>chr9:132925719_</v>
      </c>
      <c r="G120" s="6" t="s">
        <v>355</v>
      </c>
      <c r="H120" t="s">
        <v>304</v>
      </c>
      <c r="I120" t="s">
        <v>326</v>
      </c>
      <c r="J120" t="s">
        <v>327</v>
      </c>
      <c r="K120" t="str">
        <f t="shared" si="21"/>
        <v>TGGGGCCTGAAGACCTGACTACTTGAGAGATTGGAGCACATCATTGCTGTCTTTATTTGTGTTAACTTCATACATTCATGTGAGGACTGCCCTTGTTCTTTTACATTTTCAGCACCTCTTGGACAGGATTAACCCGCTGCTGTGCTCCTTTTCCG</v>
      </c>
      <c r="L120" s="1" t="str">
        <f t="shared" si="16"/>
        <v>ATTAA</v>
      </c>
      <c r="M120" t="str">
        <f t="shared" si="22"/>
        <v>GCTGC</v>
      </c>
      <c r="N120" t="str">
        <f t="shared" si="17"/>
        <v>ATTAACCCGCTGC</v>
      </c>
      <c r="O120" s="2">
        <f t="shared" si="18"/>
        <v>155</v>
      </c>
      <c r="P120" t="str">
        <f>RIGHT(K120,43)</f>
        <v>CACCTCTTGGACAGGATTAACCCGCTGCTGTGCTCCTTTTCCG</v>
      </c>
    </row>
    <row r="121" spans="1:16" x14ac:dyDescent="0.25">
      <c r="A121" t="s">
        <v>17</v>
      </c>
      <c r="B121" t="s">
        <v>156</v>
      </c>
      <c r="C121" t="s">
        <v>120</v>
      </c>
      <c r="D121" t="str">
        <f t="shared" si="19"/>
        <v>G&gt;T</v>
      </c>
      <c r="E121">
        <v>11</v>
      </c>
      <c r="F121" t="str">
        <f t="shared" si="15"/>
        <v>chr9:132925719_chr9:132925739-132925740:G&gt;T</v>
      </c>
      <c r="G121" s="5" t="s">
        <v>356</v>
      </c>
      <c r="H121" t="s">
        <v>305</v>
      </c>
      <c r="I121" t="s">
        <v>326</v>
      </c>
      <c r="J121" t="s">
        <v>327</v>
      </c>
      <c r="K121" t="str">
        <f t="shared" si="21"/>
        <v>TGGGGCCTGAAGACCTGACTACTTGAGAGATTGGAGCACATCATTGCTGTCTTTATTTGTGTTAACTTCATACATTCATGTGAGGACTGCCCTTGTTCTTTTACATTTTCATCACCTCTTGGACAGGATTAACAGGCTGCTGTGCTCCTTTTCCG</v>
      </c>
      <c r="L121" s="1" t="str">
        <f t="shared" si="16"/>
        <v>ATTAA</v>
      </c>
      <c r="M121" t="str">
        <f t="shared" si="22"/>
        <v>GCTGC</v>
      </c>
      <c r="N121" t="str">
        <f t="shared" si="17"/>
        <v>ATTAACAGGCTGC</v>
      </c>
      <c r="O121" s="2">
        <f t="shared" si="18"/>
        <v>155</v>
      </c>
      <c r="P121" t="str">
        <f t="shared" ref="P121:P131" si="23">RIGHT(K121,43)</f>
        <v>CACCTCTTGGACAGGATTAACAGGCTGCTGTGCTCCTTTTCCG</v>
      </c>
    </row>
    <row r="122" spans="1:16" x14ac:dyDescent="0.25">
      <c r="A122" t="s">
        <v>17</v>
      </c>
      <c r="B122" t="s">
        <v>156</v>
      </c>
      <c r="C122" t="s">
        <v>121</v>
      </c>
      <c r="D122" t="str">
        <f t="shared" si="19"/>
        <v>G&gt;A</v>
      </c>
      <c r="E122">
        <v>11</v>
      </c>
      <c r="F122" t="str">
        <f t="shared" si="15"/>
        <v>chr9:132925719_chr9:132925739-132925740:G&gt;A</v>
      </c>
      <c r="G122" s="5" t="s">
        <v>357</v>
      </c>
      <c r="H122" t="s">
        <v>306</v>
      </c>
      <c r="I122" t="s">
        <v>326</v>
      </c>
      <c r="J122" t="s">
        <v>327</v>
      </c>
      <c r="K122" t="str">
        <f t="shared" si="21"/>
        <v>TGGGGCCTGAAGACCTGACTACTTGAGAGATTGGAGCACATCATTGCTGTCTTTATTTGTGTTAACTTCATACATTCATGTGAGGACTGCCCTTGTTCTTTTACATTTTCAACACCTCTTGGACAGGATTAACCAGCTGCTGTGCTCCTTTTCCG</v>
      </c>
      <c r="L122" s="1" t="str">
        <f t="shared" si="16"/>
        <v>ATTAA</v>
      </c>
      <c r="M122" t="str">
        <f t="shared" si="22"/>
        <v>GCTGC</v>
      </c>
      <c r="N122" t="str">
        <f t="shared" si="17"/>
        <v>ATTAACCAGCTGC</v>
      </c>
      <c r="O122" s="2">
        <f t="shared" si="18"/>
        <v>155</v>
      </c>
      <c r="P122" t="str">
        <f t="shared" si="23"/>
        <v>CACCTCTTGGACAGGATTAACCAGCTGCTGTGCTCCTTTTCCG</v>
      </c>
    </row>
    <row r="123" spans="1:16" x14ac:dyDescent="0.25">
      <c r="A123" t="s">
        <v>17</v>
      </c>
      <c r="B123" t="s">
        <v>156</v>
      </c>
      <c r="C123" t="s">
        <v>122</v>
      </c>
      <c r="D123" t="str">
        <f t="shared" si="19"/>
        <v>A&gt;C</v>
      </c>
      <c r="E123">
        <v>11</v>
      </c>
      <c r="F123" t="str">
        <f t="shared" si="15"/>
        <v>chr9:132925719_chr9:132925740-132925741:A&gt;C</v>
      </c>
      <c r="G123" s="5" t="s">
        <v>358</v>
      </c>
      <c r="H123" t="s">
        <v>307</v>
      </c>
      <c r="I123" t="s">
        <v>326</v>
      </c>
      <c r="J123" t="s">
        <v>327</v>
      </c>
      <c r="K123" t="str">
        <f t="shared" si="21"/>
        <v>TGGGGCCTGAAGACCTGACTACTTGAGAGATTGGAGCACATCATTGCTGTCTTTATTTGTGTTAACTTCATACATTCATGTGAGGACTGCCCTTGTTCTTTTACATTTTCCGCACCTCTTGGACAGGATTAACATGCTGCTGTGCTCCTTTTCCG</v>
      </c>
      <c r="L123" s="1" t="str">
        <f t="shared" si="16"/>
        <v>ATTAA</v>
      </c>
      <c r="M123" t="str">
        <f t="shared" si="22"/>
        <v>GCTGC</v>
      </c>
      <c r="N123" t="str">
        <f t="shared" si="17"/>
        <v>ATTAACATGCTGC</v>
      </c>
      <c r="O123" s="2">
        <f t="shared" si="18"/>
        <v>155</v>
      </c>
      <c r="P123" t="str">
        <f t="shared" si="23"/>
        <v>CACCTCTTGGACAGGATTAACATGCTGCTGTGCTCCTTTTCCG</v>
      </c>
    </row>
    <row r="124" spans="1:16" x14ac:dyDescent="0.25">
      <c r="A124" t="s">
        <v>17</v>
      </c>
      <c r="B124" t="s">
        <v>156</v>
      </c>
      <c r="C124" t="s">
        <v>123</v>
      </c>
      <c r="D124" t="str">
        <f t="shared" si="19"/>
        <v>A&gt;G</v>
      </c>
      <c r="E124">
        <v>11</v>
      </c>
      <c r="F124" t="str">
        <f t="shared" si="15"/>
        <v>chr9:132925719_chr9:132925740-132925741:A&gt;G</v>
      </c>
      <c r="G124" s="6" t="s">
        <v>359</v>
      </c>
      <c r="H124" t="s">
        <v>308</v>
      </c>
      <c r="I124" t="s">
        <v>326</v>
      </c>
      <c r="J124" t="s">
        <v>327</v>
      </c>
      <c r="K124" t="str">
        <f t="shared" si="21"/>
        <v>TGGGGCCTGAAGACCTGACTACTTGAGAGATTGGAGCACATCATTGCTGTCTTTATTTGTGTTAACTTCATACATTCATGTGAGGACTGCCCTTGTTCTTTTACATTTTCGGCACCTCTTGGACAGGATTAACGGGCTGCTGTGCTCCTTTTCCG</v>
      </c>
      <c r="L124" s="1" t="str">
        <f t="shared" si="16"/>
        <v>ATTAA</v>
      </c>
      <c r="M124" t="str">
        <f t="shared" si="22"/>
        <v>GCTGC</v>
      </c>
      <c r="N124" t="str">
        <f t="shared" si="17"/>
        <v>ATTAACGGGCTGC</v>
      </c>
      <c r="O124" s="2">
        <f t="shared" si="18"/>
        <v>155</v>
      </c>
      <c r="P124" t="str">
        <f t="shared" si="23"/>
        <v>CACCTCTTGGACAGGATTAACGGGCTGCTGTGCTCCTTTTCCG</v>
      </c>
    </row>
    <row r="125" spans="1:16" x14ac:dyDescent="0.25">
      <c r="A125" t="s">
        <v>17</v>
      </c>
      <c r="B125" t="s">
        <v>156</v>
      </c>
      <c r="C125" t="s">
        <v>124</v>
      </c>
      <c r="D125" t="str">
        <f t="shared" si="19"/>
        <v>C&gt;T</v>
      </c>
      <c r="E125">
        <v>11</v>
      </c>
      <c r="F125" t="str">
        <f t="shared" si="15"/>
        <v>chr9:132925719_chr9:132925741-132925742:C&gt;T</v>
      </c>
      <c r="G125" s="5" t="s">
        <v>360</v>
      </c>
      <c r="H125" t="s">
        <v>309</v>
      </c>
      <c r="I125" t="s">
        <v>326</v>
      </c>
      <c r="J125" t="s">
        <v>327</v>
      </c>
      <c r="K125" t="str">
        <f t="shared" si="21"/>
        <v>TGGGGCCTGAAGACCTGACTACTTGAGAGATTGGAGCACATCATTGCTGTCTTTATTTGTGTTAACTTCATACATTCATGTGAGGACTGCCCTTGTTCTTTTACATTTTTAGCACCTCTTGGACAGGATTAACCTGCTGCTGTGCTCCTTTTCCG</v>
      </c>
      <c r="L125" s="1" t="str">
        <f t="shared" si="16"/>
        <v>ATTAA</v>
      </c>
      <c r="M125" t="str">
        <f t="shared" si="22"/>
        <v>GCTGC</v>
      </c>
      <c r="N125" t="str">
        <f t="shared" si="17"/>
        <v>ATTAACCTGCTGC</v>
      </c>
      <c r="O125" s="2">
        <f t="shared" si="18"/>
        <v>155</v>
      </c>
      <c r="P125" t="str">
        <f t="shared" si="23"/>
        <v>CACCTCTTGGACAGGATTAACCTGCTGCTGTGCTCCTTTTCCG</v>
      </c>
    </row>
    <row r="126" spans="1:16" x14ac:dyDescent="0.25">
      <c r="A126" t="s">
        <v>17</v>
      </c>
      <c r="B126" t="s">
        <v>156</v>
      </c>
      <c r="C126" t="s">
        <v>125</v>
      </c>
      <c r="D126" t="str">
        <f t="shared" si="19"/>
        <v>C&gt;A</v>
      </c>
      <c r="E126">
        <v>11</v>
      </c>
      <c r="F126" t="str">
        <f t="shared" si="15"/>
        <v>chr9:132925719_chr9:132925741-132925742:C&gt;A</v>
      </c>
      <c r="G126" s="5" t="s">
        <v>361</v>
      </c>
      <c r="H126" t="s">
        <v>310</v>
      </c>
      <c r="I126" t="s">
        <v>326</v>
      </c>
      <c r="J126" t="s">
        <v>327</v>
      </c>
      <c r="K126" t="str">
        <f t="shared" si="21"/>
        <v>TGGGGCCTGAAGACCTGACTACTTGAGAGATTGGAGCACATCATTGCTGTCTTTATTTGTGTTAACTTCATACATTCATGTGAGGACTGCCCTTGTTCTTTTACATTTTAAGCACCTCTTGGACAGGATTAACGCGCTGCTGTGCTCCTTTTCCG</v>
      </c>
      <c r="L126" s="1" t="str">
        <f t="shared" si="16"/>
        <v>ATTAA</v>
      </c>
      <c r="M126" t="str">
        <f t="shared" si="22"/>
        <v>GCTGC</v>
      </c>
      <c r="N126" t="str">
        <f t="shared" si="17"/>
        <v>ATTAACGCGCTGC</v>
      </c>
      <c r="O126" s="2">
        <f t="shared" si="18"/>
        <v>155</v>
      </c>
      <c r="P126" t="str">
        <f t="shared" si="23"/>
        <v>CACCTCTTGGACAGGATTAACGCGCTGCTGTGCTCCTTTTCCG</v>
      </c>
    </row>
    <row r="127" spans="1:16" x14ac:dyDescent="0.25">
      <c r="A127" t="s">
        <v>17</v>
      </c>
      <c r="B127" t="s">
        <v>156</v>
      </c>
      <c r="C127" t="s">
        <v>126</v>
      </c>
      <c r="D127" t="str">
        <f t="shared" si="19"/>
        <v>T&gt;G</v>
      </c>
      <c r="E127">
        <v>11</v>
      </c>
      <c r="F127" t="str">
        <f t="shared" si="15"/>
        <v>chr9:132925719_chr9:132925745-132925746:T&gt;G</v>
      </c>
      <c r="G127" s="5" t="s">
        <v>362</v>
      </c>
      <c r="H127" t="s">
        <v>311</v>
      </c>
      <c r="I127" t="s">
        <v>326</v>
      </c>
      <c r="J127" t="s">
        <v>327</v>
      </c>
      <c r="K127" t="str">
        <f t="shared" si="21"/>
        <v>TGGGGCCTGAAGACCTGACTACTTGAGAGATTGGAGCACATCATTGCTGTCTTTATTTGTGTTAACTTCATACATTCATGTGAGGACTGCCCTTGTTCTTTTACAGTTTCAGCACCTCTTGGACAGGATTAACACGCTGCTGTGCTCCTTTTCCG</v>
      </c>
      <c r="L127" s="1" t="str">
        <f t="shared" si="16"/>
        <v>ATTAA</v>
      </c>
      <c r="M127" t="str">
        <f t="shared" si="22"/>
        <v>GCTGC</v>
      </c>
      <c r="N127" t="str">
        <f t="shared" si="17"/>
        <v>ATTAACACGCTGC</v>
      </c>
      <c r="O127" s="2">
        <f t="shared" si="18"/>
        <v>155</v>
      </c>
      <c r="P127" t="str">
        <f t="shared" si="23"/>
        <v>CACCTCTTGGACAGGATTAACACGCTGCTGTGCTCCTTTTCCG</v>
      </c>
    </row>
    <row r="128" spans="1:16" x14ac:dyDescent="0.25">
      <c r="A128" t="s">
        <v>17</v>
      </c>
      <c r="B128" t="s">
        <v>156</v>
      </c>
      <c r="C128" t="s">
        <v>127</v>
      </c>
      <c r="D128" t="str">
        <f t="shared" si="19"/>
        <v>A&gt;-</v>
      </c>
      <c r="E128">
        <v>11</v>
      </c>
      <c r="F128" t="str">
        <f t="shared" si="15"/>
        <v>chr9:132925719_chr9:132925748-132925749:A&gt;-</v>
      </c>
      <c r="G128" s="5" t="s">
        <v>363</v>
      </c>
      <c r="H128" t="s">
        <v>312</v>
      </c>
      <c r="I128" t="s">
        <v>326</v>
      </c>
      <c r="J128" t="s">
        <v>327</v>
      </c>
      <c r="K128" t="str">
        <f t="shared" si="21"/>
        <v>TGGGGCCTGAAGACCTGACTACTTGAGAGATTGGAGCACATCATTGCTGTCTTTATTTGTGTTAACTTCATACATTCATGTGAGGACTGCCCTTGTTCTTTTCATTTTCAGCACCTCTTGGACAGGATTAACCGGCTGCTGTGCTCCTTTTCCG</v>
      </c>
      <c r="L128" s="1" t="str">
        <f t="shared" si="16"/>
        <v>ATTAA</v>
      </c>
      <c r="M128" t="str">
        <f t="shared" si="22"/>
        <v>GCTGC</v>
      </c>
      <c r="N128" t="str">
        <f t="shared" si="17"/>
        <v>ATTAACCGGCTGC</v>
      </c>
      <c r="O128" s="2">
        <f t="shared" si="18"/>
        <v>154</v>
      </c>
      <c r="P128" t="str">
        <f t="shared" si="23"/>
        <v>CACCTCTTGGACAGGATTAACCGGCTGCTGTGCTCCTTTTCCG</v>
      </c>
    </row>
    <row r="129" spans="1:16" x14ac:dyDescent="0.25">
      <c r="A129" t="s">
        <v>17</v>
      </c>
      <c r="B129" t="s">
        <v>156</v>
      </c>
      <c r="C129" t="s">
        <v>128</v>
      </c>
      <c r="D129" t="str">
        <f t="shared" si="19"/>
        <v>-&gt;T</v>
      </c>
      <c r="E129">
        <v>11</v>
      </c>
      <c r="F129" t="str">
        <f t="shared" si="15"/>
        <v>chr9:132925719_chr9:132925749-132925749:-&gt;T</v>
      </c>
      <c r="G129" s="5" t="s">
        <v>364</v>
      </c>
      <c r="H129" t="s">
        <v>313</v>
      </c>
      <c r="I129" t="s">
        <v>326</v>
      </c>
      <c r="J129" t="s">
        <v>327</v>
      </c>
      <c r="K129" t="str">
        <f t="shared" si="21"/>
        <v>TGGGGCCTGAAGACCTGACTACTTGAGAGATTGGAGCACATCATTGCTGTCTTTATTTGTGTTAACTTCATACATTCATGTGAGGACTGCCCTTGTTCTTTTTACATTTTCAGCACCTCTTGGACAGGATTAACGTGCTGCTGTGCTCCTTTTCCG</v>
      </c>
      <c r="L129" s="1" t="str">
        <f t="shared" si="16"/>
        <v>ATTAA</v>
      </c>
      <c r="M129" t="str">
        <f t="shared" si="22"/>
        <v>GCTGC</v>
      </c>
      <c r="N129" t="str">
        <f t="shared" si="17"/>
        <v>ATTAACGTGCTGC</v>
      </c>
      <c r="O129" s="2">
        <f t="shared" si="18"/>
        <v>156</v>
      </c>
      <c r="P129" t="str">
        <f t="shared" si="23"/>
        <v>CACCTCTTGGACAGGATTAACGTGCTGCTGTGCTCCTTTTCCG</v>
      </c>
    </row>
    <row r="130" spans="1:16" x14ac:dyDescent="0.25">
      <c r="A130" t="s">
        <v>17</v>
      </c>
      <c r="B130" t="s">
        <v>156</v>
      </c>
      <c r="C130" t="s">
        <v>129</v>
      </c>
      <c r="D130" t="str">
        <f t="shared" si="19"/>
        <v>C&gt;G</v>
      </c>
      <c r="E130">
        <v>11</v>
      </c>
      <c r="F130" t="str">
        <f t="shared" si="15"/>
        <v>chr9:132925719_chr9:132925753-132925754:C&gt;G</v>
      </c>
      <c r="G130" s="5" t="s">
        <v>365</v>
      </c>
      <c r="H130" t="s">
        <v>314</v>
      </c>
      <c r="I130" t="s">
        <v>326</v>
      </c>
      <c r="J130" t="s">
        <v>327</v>
      </c>
      <c r="K130" t="str">
        <f t="shared" ref="K130:K139" si="24">(I130&amp;H130&amp;G130&amp;J130)</f>
        <v>TGGGGCCTGAAGACCTGACTACTTGAGAGATTGGAGCACATCATTGCTGTCTTTATTTGTGTTAACTTCATACATTCATGTGAGGACTGCCCTTGTTGTTTTACATTTTCAGCACCTCTTGGACAGGATTAACGAGCTGCTGTGCTCCTTTTCCG</v>
      </c>
      <c r="L130" s="1" t="str">
        <f t="shared" si="16"/>
        <v>ATTAA</v>
      </c>
      <c r="M130" t="str">
        <f t="shared" ref="M130:M139" si="25">LEFT(J130,5)</f>
        <v>GCTGC</v>
      </c>
      <c r="N130" t="str">
        <f t="shared" si="17"/>
        <v>ATTAACGAGCTGC</v>
      </c>
      <c r="O130" s="2">
        <f t="shared" si="18"/>
        <v>155</v>
      </c>
      <c r="P130" t="str">
        <f t="shared" si="23"/>
        <v>CACCTCTTGGACAGGATTAACGAGCTGCTGTGCTCCTTTTCCG</v>
      </c>
    </row>
    <row r="131" spans="1:16" x14ac:dyDescent="0.25">
      <c r="A131" t="s">
        <v>17</v>
      </c>
      <c r="B131" t="s">
        <v>156</v>
      </c>
      <c r="C131" t="s">
        <v>130</v>
      </c>
      <c r="D131" t="str">
        <f t="shared" si="19"/>
        <v>T&gt;C</v>
      </c>
      <c r="E131">
        <v>11</v>
      </c>
      <c r="F131" t="str">
        <f t="shared" ref="F131:F139" si="26">(A131&amp;"_"&amp;C131)</f>
        <v>chr9:132925719_chr9:132925754-132925755:T&gt;C</v>
      </c>
      <c r="G131" s="6" t="s">
        <v>366</v>
      </c>
      <c r="H131" t="s">
        <v>315</v>
      </c>
      <c r="I131" t="s">
        <v>326</v>
      </c>
      <c r="J131" t="s">
        <v>327</v>
      </c>
      <c r="K131" t="str">
        <f t="shared" si="24"/>
        <v>TGGGGCCTGAAGACCTGACTACTTGAGAGATTGGAGCACATCATTGCTGTCTTTATTTGTGTTAACTTCATACATTCATGTGAGGACTGCCCTTGTCCTTTTACATTTTCAGCACCTCTTGGACAGGATTAACAAGCTGCTGTGCTCCTTTTCCG</v>
      </c>
      <c r="L131" s="1" t="str">
        <f t="shared" ref="L131:L139" si="27">RIGHT(H131,5)</f>
        <v>ATTAA</v>
      </c>
      <c r="M131" t="str">
        <f t="shared" si="25"/>
        <v>GCTGC</v>
      </c>
      <c r="N131" t="str">
        <f t="shared" ref="N131:N139" si="28">(L131&amp;G131&amp;M131)</f>
        <v>ATTAACAAGCTGC</v>
      </c>
      <c r="O131" s="2">
        <f t="shared" ref="O131:O139" si="29">LEN(K131)</f>
        <v>155</v>
      </c>
      <c r="P131" t="str">
        <f t="shared" si="23"/>
        <v>CACCTCTTGGACAGGATTAACAAGCTGCTGTGCTCCTTTTCCG</v>
      </c>
    </row>
    <row r="132" spans="1:16" x14ac:dyDescent="0.25">
      <c r="A132" t="s">
        <v>18</v>
      </c>
      <c r="D132" t="s">
        <v>167</v>
      </c>
      <c r="F132" t="str">
        <f t="shared" si="26"/>
        <v>chr9:132927284_</v>
      </c>
      <c r="G132" t="s">
        <v>183</v>
      </c>
      <c r="H132" t="s">
        <v>316</v>
      </c>
      <c r="I132" t="s">
        <v>326</v>
      </c>
      <c r="J132" t="s">
        <v>327</v>
      </c>
      <c r="K132" t="str">
        <f t="shared" si="24"/>
        <v>TGGGGCCTGAAGACCTGACTCATTTTCTGGATTTTGTGACAGGAAGCTGTGTAAGGTAAATTTAGGATGTTAAGGGGAATAAGTATCATCCATTGCCCTTTTCTTGATTTAGACCGTGGCCCTATGCTTGTATAGCTGCTGTGCTCCTTTTCCG</v>
      </c>
      <c r="L132" s="1" t="str">
        <f t="shared" si="27"/>
        <v>TTGTA</v>
      </c>
      <c r="M132" t="str">
        <f t="shared" si="25"/>
        <v>GCTGC</v>
      </c>
      <c r="N132" t="str">
        <f t="shared" si="28"/>
        <v>TTGTATAGCTGC</v>
      </c>
      <c r="O132" s="2">
        <f t="shared" si="29"/>
        <v>154</v>
      </c>
      <c r="P132" t="str">
        <f>RIGHT(K132,42)</f>
        <v>ACCGTGGCCCTATGCTTGTATAGCTGCTGTGCTCCTTTTCCG</v>
      </c>
    </row>
    <row r="133" spans="1:16" x14ac:dyDescent="0.25">
      <c r="A133" t="s">
        <v>18</v>
      </c>
      <c r="B133" t="s">
        <v>157</v>
      </c>
      <c r="C133" t="s">
        <v>131</v>
      </c>
      <c r="D133" t="str">
        <f t="shared" ref="D133:D139" si="30">RIGHT(C133,3)</f>
        <v>G&gt;A</v>
      </c>
      <c r="E133">
        <v>2</v>
      </c>
      <c r="F133" t="str">
        <f t="shared" si="26"/>
        <v>chr9:132927284_chr9:132927304-132927305:G&gt;A</v>
      </c>
      <c r="G133" t="s">
        <v>172</v>
      </c>
      <c r="H133" t="s">
        <v>317</v>
      </c>
      <c r="I133" t="s">
        <v>326</v>
      </c>
      <c r="J133" t="s">
        <v>327</v>
      </c>
      <c r="K133" t="str">
        <f t="shared" si="24"/>
        <v>TGGGGCCTGAAGACCTGACTCATTTTCTGGATTTTGTGACAGGAAGCTGTGTAAGGTAAATTTAGGATGTTAAGGGGAATAAGTATCATCCATTGCCCTTTTCTTGATTTAAACCGTGGCCCTATGCTTGTAAGGCTGCTGTGCTCCTTTTCCG</v>
      </c>
      <c r="L133" s="1" t="str">
        <f t="shared" si="27"/>
        <v>TTGTA</v>
      </c>
      <c r="M133" t="str">
        <f t="shared" si="25"/>
        <v>GCTGC</v>
      </c>
      <c r="N133" t="str">
        <f t="shared" si="28"/>
        <v>TTGTAAGGCTGC</v>
      </c>
      <c r="O133" s="2">
        <f t="shared" si="29"/>
        <v>154</v>
      </c>
      <c r="P133" t="str">
        <f t="shared" ref="P133:P139" si="31">RIGHT(K133,42)</f>
        <v>ACCGTGGCCCTATGCTTGTAAGGCTGCTGTGCTCCTTTTCCG</v>
      </c>
    </row>
    <row r="134" spans="1:16" x14ac:dyDescent="0.25">
      <c r="A134" t="s">
        <v>18</v>
      </c>
      <c r="B134" t="s">
        <v>157</v>
      </c>
      <c r="C134" t="s">
        <v>132</v>
      </c>
      <c r="D134" t="str">
        <f t="shared" si="30"/>
        <v>A&gt;G</v>
      </c>
      <c r="E134">
        <v>2</v>
      </c>
      <c r="F134" t="str">
        <f t="shared" si="26"/>
        <v>chr9:132927284_chr9:132927305-132927306:A&gt;G</v>
      </c>
      <c r="G134" t="s">
        <v>174</v>
      </c>
      <c r="H134" t="s">
        <v>318</v>
      </c>
      <c r="I134" t="s">
        <v>326</v>
      </c>
      <c r="J134" t="s">
        <v>327</v>
      </c>
      <c r="K134" t="str">
        <f t="shared" si="24"/>
        <v>TGGGGCCTGAAGACCTGACTCATTTTCTGGATTTTGTGACAGGAAGCTGTGTAAGGTAAATTTAGGATGTTAAGGGGAATAAGTATCATCCATTGCCCTTTTCTTGATTTGGACCGTGGCCCTATGCTTGTACAGCTGCTGTGCTCCTTTTCCG</v>
      </c>
      <c r="L134" s="1" t="str">
        <f t="shared" si="27"/>
        <v>TTGTA</v>
      </c>
      <c r="M134" t="str">
        <f t="shared" si="25"/>
        <v>GCTGC</v>
      </c>
      <c r="N134" t="str">
        <f t="shared" si="28"/>
        <v>TTGTACAGCTGC</v>
      </c>
      <c r="O134" s="2">
        <f t="shared" si="29"/>
        <v>154</v>
      </c>
      <c r="P134" t="str">
        <f t="shared" si="31"/>
        <v>ACCGTGGCCCTATGCTTGTACAGCTGCTGTGCTCCTTTTCCG</v>
      </c>
    </row>
    <row r="135" spans="1:16" x14ac:dyDescent="0.25">
      <c r="A135" t="s">
        <v>19</v>
      </c>
      <c r="D135" t="s">
        <v>167</v>
      </c>
      <c r="F135" t="str">
        <f t="shared" si="26"/>
        <v>chr9:132928932_</v>
      </c>
      <c r="G135" t="s">
        <v>173</v>
      </c>
      <c r="H135" t="s">
        <v>319</v>
      </c>
      <c r="I135" t="s">
        <v>326</v>
      </c>
      <c r="J135" t="s">
        <v>327</v>
      </c>
      <c r="K135" t="str">
        <f t="shared" si="24"/>
        <v>TGGGGCCTGAAGACCTGACTGAACACGTGCATTAGTTTGTCTTGCAGGTATTTTCTTTTTTTATGGAGAAAAATGGGGCCATTTAGTGACTGTTCATCTTCCTTTTTCTCAGTTTGGTAGTGGCCCCAATGAATGCTGCTGTGCTCCTTTTCCG</v>
      </c>
      <c r="L135" s="1" t="str">
        <f t="shared" si="27"/>
        <v>AATGA</v>
      </c>
      <c r="M135" t="str">
        <f t="shared" si="25"/>
        <v>GCTGC</v>
      </c>
      <c r="N135" t="str">
        <f t="shared" si="28"/>
        <v>AATGAATGCTGC</v>
      </c>
      <c r="O135" s="2">
        <f t="shared" si="29"/>
        <v>154</v>
      </c>
      <c r="P135" t="str">
        <f t="shared" si="31"/>
        <v>TTTGGTAGTGGCCCCAATGAATGCTGCTGTGCTCCTTTTCCG</v>
      </c>
    </row>
    <row r="136" spans="1:16" x14ac:dyDescent="0.25">
      <c r="A136" t="s">
        <v>19</v>
      </c>
      <c r="B136" t="s">
        <v>158</v>
      </c>
      <c r="C136" t="s">
        <v>133</v>
      </c>
      <c r="D136" t="str">
        <f t="shared" si="30"/>
        <v>C&gt;T</v>
      </c>
      <c r="E136">
        <v>4</v>
      </c>
      <c r="F136" t="str">
        <f t="shared" si="26"/>
        <v>chr9:132928932_chr9:132928956-132928957:C&gt;T</v>
      </c>
      <c r="G136" t="s">
        <v>346</v>
      </c>
      <c r="H136" t="s">
        <v>320</v>
      </c>
      <c r="I136" t="s">
        <v>326</v>
      </c>
      <c r="J136" t="s">
        <v>327</v>
      </c>
      <c r="K136" t="str">
        <f t="shared" si="24"/>
        <v>TGGGGCCTGAAGACCTGACTGAACACGTGCATTAGTTTGTCTTGCAGGTATTTTCTTTTTTTATGGAGAAAAATGGGGCCATTTAGTGACTGTTCATCTTCCTTTTTTTCAGTTTGGTAGTGGCCCCAATGATGGCTGCTGTGCTCCTTTTCCG</v>
      </c>
      <c r="L136" s="1" t="str">
        <f t="shared" si="27"/>
        <v>AATGA</v>
      </c>
      <c r="M136" t="str">
        <f t="shared" si="25"/>
        <v>GCTGC</v>
      </c>
      <c r="N136" t="str">
        <f t="shared" si="28"/>
        <v>AATGATGGCTGC</v>
      </c>
      <c r="O136" s="2">
        <f t="shared" si="29"/>
        <v>154</v>
      </c>
      <c r="P136" t="str">
        <f t="shared" si="31"/>
        <v>TTTGGTAGTGGCCCCAATGATGGCTGCTGTGCTCCTTTTCCG</v>
      </c>
    </row>
    <row r="137" spans="1:16" x14ac:dyDescent="0.25">
      <c r="A137" t="s">
        <v>19</v>
      </c>
      <c r="B137" t="s">
        <v>158</v>
      </c>
      <c r="C137" t="s">
        <v>134</v>
      </c>
      <c r="D137" t="str">
        <f t="shared" si="30"/>
        <v>T&gt;C</v>
      </c>
      <c r="E137">
        <v>4</v>
      </c>
      <c r="F137" t="str">
        <f t="shared" si="26"/>
        <v>chr9:132928932_chr9:132928961-132928962:T&gt;C</v>
      </c>
      <c r="G137" s="4" t="s">
        <v>354</v>
      </c>
      <c r="H137" t="s">
        <v>321</v>
      </c>
      <c r="I137" t="s">
        <v>326</v>
      </c>
      <c r="J137" t="s">
        <v>327</v>
      </c>
      <c r="K137" t="str">
        <f t="shared" si="24"/>
        <v>TGGGGCCTGAAGACCTGACTGAACACGTGCATTAGTTTGTCTTGCAGGTATTTTCTTTTTTTATGGAGAAAAATGGGGCCATTTAGTGACTGTTCATCTTCCCTTTTCTCAGTTTGGTAGTGGCCCCAATGACGGCTGCTGTGCTCCTTTTCCG</v>
      </c>
      <c r="L137" s="1" t="str">
        <f t="shared" si="27"/>
        <v>AATGA</v>
      </c>
      <c r="M137" t="str">
        <f t="shared" si="25"/>
        <v>GCTGC</v>
      </c>
      <c r="N137" t="str">
        <f t="shared" si="28"/>
        <v>AATGACGGCTGC</v>
      </c>
      <c r="O137" s="2">
        <f t="shared" si="29"/>
        <v>154</v>
      </c>
      <c r="P137" t="str">
        <f t="shared" si="31"/>
        <v>TTTGGTAGTGGCCCCAATGACGGCTGCTGTGCTCCTTTTCCG</v>
      </c>
    </row>
    <row r="138" spans="1:16" x14ac:dyDescent="0.25">
      <c r="A138" t="s">
        <v>19</v>
      </c>
      <c r="B138" t="s">
        <v>158</v>
      </c>
      <c r="C138" t="s">
        <v>135</v>
      </c>
      <c r="D138" t="str">
        <f t="shared" si="30"/>
        <v>T&gt;-</v>
      </c>
      <c r="E138">
        <v>4</v>
      </c>
      <c r="F138" t="str">
        <f t="shared" si="26"/>
        <v>chr9:132928932_chr9:132929002-132929003:T&gt;-</v>
      </c>
      <c r="G138" t="s">
        <v>178</v>
      </c>
      <c r="H138" t="s">
        <v>322</v>
      </c>
      <c r="I138" t="s">
        <v>326</v>
      </c>
      <c r="J138" t="s">
        <v>327</v>
      </c>
      <c r="K138" t="str">
        <f t="shared" si="24"/>
        <v>TGGGGCCTGAAGACCTGACTGAACACGTGCATTAGTTTGTCTTGCAGGTATTTTCTTTTTTATGGAGAAAAATGGGGCCATTTAGTGACTGTTCATCTTCCTTTTTCTCAGTTTGGTAGTGGCCCCAATGAGCGCTGCTGTGCTCCTTTTCCG</v>
      </c>
      <c r="L138" s="1" t="str">
        <f t="shared" si="27"/>
        <v>AATGA</v>
      </c>
      <c r="M138" t="str">
        <f t="shared" si="25"/>
        <v>GCTGC</v>
      </c>
      <c r="N138" t="str">
        <f t="shared" si="28"/>
        <v>AATGAGCGCTGC</v>
      </c>
      <c r="O138" s="2">
        <f t="shared" si="29"/>
        <v>153</v>
      </c>
      <c r="P138" t="str">
        <f t="shared" si="31"/>
        <v>TTTGGTAGTGGCCCCAATGAGCGCTGCTGTGCTCCTTTTCCG</v>
      </c>
    </row>
    <row r="139" spans="1:16" x14ac:dyDescent="0.25">
      <c r="A139" t="s">
        <v>19</v>
      </c>
      <c r="B139" t="s">
        <v>158</v>
      </c>
      <c r="C139" t="s">
        <v>136</v>
      </c>
      <c r="D139" t="str">
        <f t="shared" si="30"/>
        <v>T&gt;C</v>
      </c>
      <c r="E139">
        <v>4</v>
      </c>
      <c r="F139" t="str">
        <f t="shared" si="26"/>
        <v>chr9:132928932_chr9:132929006-132929007:T&gt;C</v>
      </c>
      <c r="G139" t="s">
        <v>171</v>
      </c>
      <c r="H139" t="s">
        <v>323</v>
      </c>
      <c r="I139" t="s">
        <v>326</v>
      </c>
      <c r="J139" t="s">
        <v>327</v>
      </c>
      <c r="K139" t="str">
        <f t="shared" si="24"/>
        <v>TGGGGCCTGAAGACCTGACTGAACACGTGCATTAGTTTGTCTTGCAGGTATTTTCTTCTTTTATGGAGAAAAATGGGGCCATTTAGTGACTGTTCATCTTCCTTTTTCTCAGTTTGGTAGTGGCCCCAATGAACGCTGCTGTGCTCCTTTTCCG</v>
      </c>
      <c r="L139" s="1" t="str">
        <f t="shared" si="27"/>
        <v>AATGA</v>
      </c>
      <c r="M139" t="str">
        <f t="shared" si="25"/>
        <v>GCTGC</v>
      </c>
      <c r="N139" t="str">
        <f t="shared" si="28"/>
        <v>AATGAACGCTGC</v>
      </c>
      <c r="O139" s="2">
        <f t="shared" si="29"/>
        <v>154</v>
      </c>
      <c r="P139" t="str">
        <f t="shared" si="31"/>
        <v>TTTGGTAGTGGCCCCAATGAACGCTGCTGTGCTCCTTTTCCG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2018-12-18T03:42:04Z</dcterms:created>
  <dcterms:modified xsi:type="dcterms:W3CDTF">2019-05-30T09:16:17Z</dcterms:modified>
</cp:coreProperties>
</file>